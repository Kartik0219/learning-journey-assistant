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showInkAnnotation="0" autoCompressPictures="0"/>
  <xr:revisionPtr revIDLastSave="1" documentId="11_80C1B00471FFB5545FBC4CCD659EC72BB90EC91D" xr6:coauthVersionLast="47" xr6:coauthVersionMax="47" xr10:uidLastSave="{2B3B8CC4-79CA-4B68-A319-DD656742C194}"/>
  <bookViews>
    <workbookView xWindow="0" yWindow="0" windowWidth="0" windowHeight="0" xr2:uid="{00000000-000D-0000-FFFF-FFFF00000000}"/>
  </bookViews>
  <sheets>
    <sheet name="Results" sheetId="1" r:id="rId1"/>
    <sheet name="Student Summary" sheetId="2" r:id="rId2"/>
    <sheet name="Assessment Map" sheetId="3" r:id="rId3"/>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51" i="1" l="1"/>
  <c r="G1650" i="1"/>
  <c r="G1649" i="1"/>
  <c r="G1648" i="1"/>
  <c r="D151" i="2" s="1"/>
  <c r="G1647" i="1"/>
  <c r="G1646" i="1"/>
  <c r="G1645" i="1"/>
  <c r="C151" i="2" s="1"/>
  <c r="G1644" i="1"/>
  <c r="G1643" i="1"/>
  <c r="G1642" i="1"/>
  <c r="G1641" i="1"/>
  <c r="B151" i="2" s="1"/>
  <c r="E151" i="2" s="1"/>
  <c r="F151" i="2" s="1"/>
  <c r="G1640" i="1"/>
  <c r="G1639" i="1"/>
  <c r="G1638" i="1"/>
  <c r="G1637" i="1"/>
  <c r="D150" i="2" s="1"/>
  <c r="G1636" i="1"/>
  <c r="G1635" i="1"/>
  <c r="G1634" i="1"/>
  <c r="C150" i="2" s="1"/>
  <c r="G1633" i="1"/>
  <c r="G1632" i="1"/>
  <c r="G1631" i="1"/>
  <c r="G1630" i="1"/>
  <c r="B150" i="2" s="1"/>
  <c r="E150" i="2" s="1"/>
  <c r="F150" i="2" s="1"/>
  <c r="G1629" i="1"/>
  <c r="G1628" i="1"/>
  <c r="G1627" i="1"/>
  <c r="G1626" i="1"/>
  <c r="D149" i="2" s="1"/>
  <c r="G1625" i="1"/>
  <c r="G1624" i="1"/>
  <c r="G1623" i="1"/>
  <c r="C149" i="2" s="1"/>
  <c r="G1622" i="1"/>
  <c r="G1621" i="1"/>
  <c r="G1620" i="1"/>
  <c r="G1619" i="1"/>
  <c r="B149" i="2" s="1"/>
  <c r="E149" i="2" s="1"/>
  <c r="F149" i="2" s="1"/>
  <c r="G1618" i="1"/>
  <c r="G1617" i="1"/>
  <c r="G1616" i="1"/>
  <c r="G1615" i="1"/>
  <c r="D148" i="2" s="1"/>
  <c r="G1614" i="1"/>
  <c r="G1613" i="1"/>
  <c r="G1612" i="1"/>
  <c r="C148" i="2" s="1"/>
  <c r="G1611" i="1"/>
  <c r="G1610" i="1"/>
  <c r="G1609" i="1"/>
  <c r="G1608" i="1"/>
  <c r="B148" i="2" s="1"/>
  <c r="E148" i="2" s="1"/>
  <c r="F148" i="2" s="1"/>
  <c r="G1607" i="1"/>
  <c r="G1606" i="1"/>
  <c r="G1605" i="1"/>
  <c r="G1604" i="1"/>
  <c r="D147" i="2" s="1"/>
  <c r="G1603" i="1"/>
  <c r="G1602" i="1"/>
  <c r="G1601" i="1"/>
  <c r="C147" i="2" s="1"/>
  <c r="G1600" i="1"/>
  <c r="G1599" i="1"/>
  <c r="G1598" i="1"/>
  <c r="G1597" i="1"/>
  <c r="B147" i="2" s="1"/>
  <c r="E147" i="2" s="1"/>
  <c r="F147" i="2" s="1"/>
  <c r="G1596" i="1"/>
  <c r="G1595" i="1"/>
  <c r="G1594" i="1"/>
  <c r="G1593" i="1"/>
  <c r="D146" i="2" s="1"/>
  <c r="G1592" i="1"/>
  <c r="G1591" i="1"/>
  <c r="G1590" i="1"/>
  <c r="C146" i="2" s="1"/>
  <c r="G1589" i="1"/>
  <c r="G1588" i="1"/>
  <c r="G1587" i="1"/>
  <c r="G1586" i="1"/>
  <c r="B146" i="2" s="1"/>
  <c r="E146" i="2" s="1"/>
  <c r="F146" i="2" s="1"/>
  <c r="G1585" i="1"/>
  <c r="G1584" i="1"/>
  <c r="G1583" i="1"/>
  <c r="G1582" i="1"/>
  <c r="D145" i="2" s="1"/>
  <c r="G1581" i="1"/>
  <c r="G1580" i="1"/>
  <c r="G1579" i="1"/>
  <c r="C145" i="2" s="1"/>
  <c r="G1578" i="1"/>
  <c r="G1577" i="1"/>
  <c r="G1576" i="1"/>
  <c r="G1575" i="1"/>
  <c r="B145" i="2" s="1"/>
  <c r="E145" i="2" s="1"/>
  <c r="F145" i="2" s="1"/>
  <c r="G1574" i="1"/>
  <c r="G1573" i="1"/>
  <c r="G1572" i="1"/>
  <c r="G1571" i="1"/>
  <c r="D144" i="2" s="1"/>
  <c r="G1570" i="1"/>
  <c r="G1569" i="1"/>
  <c r="G1568" i="1"/>
  <c r="C144" i="2" s="1"/>
  <c r="G1567" i="1"/>
  <c r="G1566" i="1"/>
  <c r="G1565" i="1"/>
  <c r="G1564" i="1"/>
  <c r="B144" i="2" s="1"/>
  <c r="E144" i="2" s="1"/>
  <c r="F144" i="2" s="1"/>
  <c r="G1563" i="1"/>
  <c r="G1562" i="1"/>
  <c r="G1561" i="1"/>
  <c r="G1560" i="1"/>
  <c r="D143" i="2" s="1"/>
  <c r="G1559" i="1"/>
  <c r="G1558" i="1"/>
  <c r="G1557" i="1"/>
  <c r="C143" i="2" s="1"/>
  <c r="G1556" i="1"/>
  <c r="G1555" i="1"/>
  <c r="G1554" i="1"/>
  <c r="G1553" i="1"/>
  <c r="B143" i="2" s="1"/>
  <c r="E143" i="2" s="1"/>
  <c r="F143" i="2" s="1"/>
  <c r="G1552" i="1"/>
  <c r="G1551" i="1"/>
  <c r="G1550" i="1"/>
  <c r="G1549" i="1"/>
  <c r="D142" i="2" s="1"/>
  <c r="G1548" i="1"/>
  <c r="G1547" i="1"/>
  <c r="G1546" i="1"/>
  <c r="C142" i="2" s="1"/>
  <c r="G1545" i="1"/>
  <c r="G1544" i="1"/>
  <c r="G1543" i="1"/>
  <c r="G1542" i="1"/>
  <c r="B142" i="2" s="1"/>
  <c r="E142" i="2" s="1"/>
  <c r="F142" i="2" s="1"/>
  <c r="G1541" i="1"/>
  <c r="G1540" i="1"/>
  <c r="G1539" i="1"/>
  <c r="G1538" i="1"/>
  <c r="D141" i="2" s="1"/>
  <c r="G1537" i="1"/>
  <c r="G1536" i="1"/>
  <c r="G1535" i="1"/>
  <c r="C141" i="2" s="1"/>
  <c r="G1534" i="1"/>
  <c r="G1533" i="1"/>
  <c r="G1532" i="1"/>
  <c r="G1531" i="1"/>
  <c r="B141" i="2" s="1"/>
  <c r="E141" i="2" s="1"/>
  <c r="F141" i="2" s="1"/>
  <c r="G1530" i="1"/>
  <c r="G1529" i="1"/>
  <c r="G1528" i="1"/>
  <c r="G1527" i="1"/>
  <c r="D140" i="2" s="1"/>
  <c r="G1526" i="1"/>
  <c r="G1525" i="1"/>
  <c r="G1524" i="1"/>
  <c r="C140" i="2" s="1"/>
  <c r="G1523" i="1"/>
  <c r="G1522" i="1"/>
  <c r="G1521" i="1"/>
  <c r="G1520" i="1"/>
  <c r="B140" i="2" s="1"/>
  <c r="E140" i="2" s="1"/>
  <c r="F140" i="2" s="1"/>
  <c r="G1519" i="1"/>
  <c r="G1518" i="1"/>
  <c r="G1517" i="1"/>
  <c r="G1516" i="1"/>
  <c r="D139" i="2" s="1"/>
  <c r="G1515" i="1"/>
  <c r="G1514" i="1"/>
  <c r="G1513" i="1"/>
  <c r="C139" i="2" s="1"/>
  <c r="G1512" i="1"/>
  <c r="G1511" i="1"/>
  <c r="G1510" i="1"/>
  <c r="G1509" i="1"/>
  <c r="B139" i="2" s="1"/>
  <c r="E139" i="2" s="1"/>
  <c r="F139" i="2" s="1"/>
  <c r="G1508" i="1"/>
  <c r="G1507" i="1"/>
  <c r="G1506" i="1"/>
  <c r="G1505" i="1"/>
  <c r="D138" i="2" s="1"/>
  <c r="G1504" i="1"/>
  <c r="G1503" i="1"/>
  <c r="G1502" i="1"/>
  <c r="C138" i="2" s="1"/>
  <c r="G1501" i="1"/>
  <c r="G1500" i="1"/>
  <c r="G1499" i="1"/>
  <c r="G1498" i="1"/>
  <c r="B138" i="2" s="1"/>
  <c r="E138" i="2" s="1"/>
  <c r="F138" i="2" s="1"/>
  <c r="G1497" i="1"/>
  <c r="G1496" i="1"/>
  <c r="G1495" i="1"/>
  <c r="G1494" i="1"/>
  <c r="D137" i="2" s="1"/>
  <c r="G1493" i="1"/>
  <c r="G1492" i="1"/>
  <c r="G1491" i="1"/>
  <c r="C137" i="2" s="1"/>
  <c r="G1490" i="1"/>
  <c r="G1489" i="1"/>
  <c r="G1488" i="1"/>
  <c r="G1487" i="1"/>
  <c r="B137" i="2" s="1"/>
  <c r="E137" i="2" s="1"/>
  <c r="F137" i="2" s="1"/>
  <c r="G1486" i="1"/>
  <c r="G1485" i="1"/>
  <c r="G1484" i="1"/>
  <c r="G1483" i="1"/>
  <c r="D136" i="2" s="1"/>
  <c r="G1482" i="1"/>
  <c r="G1481" i="1"/>
  <c r="G1480" i="1"/>
  <c r="C136" i="2" s="1"/>
  <c r="G1479" i="1"/>
  <c r="G1478" i="1"/>
  <c r="G1477" i="1"/>
  <c r="G1476" i="1"/>
  <c r="B136" i="2" s="1"/>
  <c r="E136" i="2" s="1"/>
  <c r="F136" i="2" s="1"/>
  <c r="G1475" i="1"/>
  <c r="G1474" i="1"/>
  <c r="G1473" i="1"/>
  <c r="G1472" i="1"/>
  <c r="D135" i="2" s="1"/>
  <c r="G1471" i="1"/>
  <c r="G1470" i="1"/>
  <c r="G1469" i="1"/>
  <c r="C135" i="2" s="1"/>
  <c r="G1468" i="1"/>
  <c r="G1467" i="1"/>
  <c r="G1466" i="1"/>
  <c r="G1465" i="1"/>
  <c r="B135" i="2" s="1"/>
  <c r="E135" i="2" s="1"/>
  <c r="F135" i="2" s="1"/>
  <c r="G1464" i="1"/>
  <c r="G1463" i="1"/>
  <c r="G1462" i="1"/>
  <c r="G1461" i="1"/>
  <c r="D134" i="2" s="1"/>
  <c r="G1460" i="1"/>
  <c r="G1459" i="1"/>
  <c r="G1458" i="1"/>
  <c r="C134" i="2" s="1"/>
  <c r="G1457" i="1"/>
  <c r="G1456" i="1"/>
  <c r="G1455" i="1"/>
  <c r="G1454" i="1"/>
  <c r="B134" i="2" s="1"/>
  <c r="E134" i="2" s="1"/>
  <c r="F134" i="2" s="1"/>
  <c r="G1453" i="1"/>
  <c r="G1452" i="1"/>
  <c r="G1451" i="1"/>
  <c r="G1450" i="1"/>
  <c r="D133" i="2" s="1"/>
  <c r="G1449" i="1"/>
  <c r="G1448" i="1"/>
  <c r="G1447" i="1"/>
  <c r="C133" i="2" s="1"/>
  <c r="G1446" i="1"/>
  <c r="G1445" i="1"/>
  <c r="G1444" i="1"/>
  <c r="G1443" i="1"/>
  <c r="B133" i="2" s="1"/>
  <c r="E133" i="2" s="1"/>
  <c r="F133" i="2" s="1"/>
  <c r="G1442" i="1"/>
  <c r="G1441" i="1"/>
  <c r="G1440" i="1"/>
  <c r="G1439" i="1"/>
  <c r="D132" i="2" s="1"/>
  <c r="G1438" i="1"/>
  <c r="G1437" i="1"/>
  <c r="G1436" i="1"/>
  <c r="C132" i="2" s="1"/>
  <c r="G1435" i="1"/>
  <c r="G1434" i="1"/>
  <c r="G1433" i="1"/>
  <c r="G1432" i="1"/>
  <c r="B132" i="2" s="1"/>
  <c r="E132" i="2" s="1"/>
  <c r="F132" i="2" s="1"/>
  <c r="G1431" i="1"/>
  <c r="G1430" i="1"/>
  <c r="G1429" i="1"/>
  <c r="G1428" i="1"/>
  <c r="D131" i="2" s="1"/>
  <c r="G1427" i="1"/>
  <c r="G1426" i="1"/>
  <c r="G1425" i="1"/>
  <c r="C131" i="2" s="1"/>
  <c r="G1424" i="1"/>
  <c r="G1423" i="1"/>
  <c r="G1422" i="1"/>
  <c r="G1421" i="1"/>
  <c r="B131" i="2" s="1"/>
  <c r="E131" i="2" s="1"/>
  <c r="F131" i="2" s="1"/>
  <c r="G1420" i="1"/>
  <c r="G1419" i="1"/>
  <c r="G1418" i="1"/>
  <c r="G1417" i="1"/>
  <c r="D130" i="2" s="1"/>
  <c r="G1416" i="1"/>
  <c r="G1415" i="1"/>
  <c r="G1414" i="1"/>
  <c r="C130" i="2" s="1"/>
  <c r="G1413" i="1"/>
  <c r="G1412" i="1"/>
  <c r="G1411" i="1"/>
  <c r="G1410" i="1"/>
  <c r="B130" i="2" s="1"/>
  <c r="E130" i="2" s="1"/>
  <c r="F130" i="2" s="1"/>
  <c r="G1409" i="1"/>
  <c r="G1408" i="1"/>
  <c r="G1407" i="1"/>
  <c r="G1406" i="1"/>
  <c r="D129" i="2" s="1"/>
  <c r="G1405" i="1"/>
  <c r="G1404" i="1"/>
  <c r="G1403" i="1"/>
  <c r="C129" i="2" s="1"/>
  <c r="G1402" i="1"/>
  <c r="G1401" i="1"/>
  <c r="G1400" i="1"/>
  <c r="G1399" i="1"/>
  <c r="B129" i="2" s="1"/>
  <c r="E129" i="2" s="1"/>
  <c r="F129" i="2" s="1"/>
  <c r="G1398" i="1"/>
  <c r="G1397" i="1"/>
  <c r="G1396" i="1"/>
  <c r="G1395" i="1"/>
  <c r="D128" i="2" s="1"/>
  <c r="G1394" i="1"/>
  <c r="G1393" i="1"/>
  <c r="G1392" i="1"/>
  <c r="C128" i="2" s="1"/>
  <c r="G1391" i="1"/>
  <c r="G1390" i="1"/>
  <c r="G1389" i="1"/>
  <c r="G1388" i="1"/>
  <c r="B128" i="2" s="1"/>
  <c r="E128" i="2" s="1"/>
  <c r="F128" i="2" s="1"/>
  <c r="G1387" i="1"/>
  <c r="G1386" i="1"/>
  <c r="G1385" i="1"/>
  <c r="G1384" i="1"/>
  <c r="D127" i="2" s="1"/>
  <c r="G1383" i="1"/>
  <c r="G1382" i="1"/>
  <c r="G1381" i="1"/>
  <c r="C127" i="2" s="1"/>
  <c r="G1380" i="1"/>
  <c r="G1379" i="1"/>
  <c r="G1378" i="1"/>
  <c r="G1377" i="1"/>
  <c r="B127" i="2" s="1"/>
  <c r="E127" i="2" s="1"/>
  <c r="F127" i="2" s="1"/>
  <c r="G1376" i="1"/>
  <c r="G1375" i="1"/>
  <c r="G1374" i="1"/>
  <c r="G1373" i="1"/>
  <c r="D126" i="2" s="1"/>
  <c r="G1372" i="1"/>
  <c r="G1371" i="1"/>
  <c r="G1370" i="1"/>
  <c r="C126" i="2" s="1"/>
  <c r="G1369" i="1"/>
  <c r="G1368" i="1"/>
  <c r="G1367" i="1"/>
  <c r="G1366" i="1"/>
  <c r="B126" i="2" s="1"/>
  <c r="E126" i="2" s="1"/>
  <c r="F126" i="2" s="1"/>
  <c r="G1365" i="1"/>
  <c r="G1364" i="1"/>
  <c r="G1363" i="1"/>
  <c r="G1362" i="1"/>
  <c r="D125" i="2" s="1"/>
  <c r="G1361" i="1"/>
  <c r="G1360" i="1"/>
  <c r="G1359" i="1"/>
  <c r="C125" i="2" s="1"/>
  <c r="G1358" i="1"/>
  <c r="G1357" i="1"/>
  <c r="G1356" i="1"/>
  <c r="G1355" i="1"/>
  <c r="B125" i="2" s="1"/>
  <c r="E125" i="2" s="1"/>
  <c r="F125" i="2" s="1"/>
  <c r="G1354" i="1"/>
  <c r="G1353" i="1"/>
  <c r="G1352" i="1"/>
  <c r="G1351" i="1"/>
  <c r="D124" i="2" s="1"/>
  <c r="G1350" i="1"/>
  <c r="G1349" i="1"/>
  <c r="G1348" i="1"/>
  <c r="C124" i="2" s="1"/>
  <c r="G1347" i="1"/>
  <c r="G1346" i="1"/>
  <c r="G1345" i="1"/>
  <c r="G1344" i="1"/>
  <c r="B124" i="2" s="1"/>
  <c r="E124" i="2" s="1"/>
  <c r="F124" i="2" s="1"/>
  <c r="G1343" i="1"/>
  <c r="G1342" i="1"/>
  <c r="G1341" i="1"/>
  <c r="G1340" i="1"/>
  <c r="D123" i="2" s="1"/>
  <c r="G1339" i="1"/>
  <c r="G1338" i="1"/>
  <c r="G1337" i="1"/>
  <c r="C123" i="2" s="1"/>
  <c r="G1336" i="1"/>
  <c r="G1335" i="1"/>
  <c r="G1334" i="1"/>
  <c r="G1333" i="1"/>
  <c r="B123" i="2" s="1"/>
  <c r="E123" i="2" s="1"/>
  <c r="F123" i="2" s="1"/>
  <c r="G1332" i="1"/>
  <c r="G1331" i="1"/>
  <c r="G1330" i="1"/>
  <c r="G1329" i="1"/>
  <c r="D122" i="2" s="1"/>
  <c r="G1328" i="1"/>
  <c r="G1327" i="1"/>
  <c r="G1326" i="1"/>
  <c r="C122" i="2" s="1"/>
  <c r="G1325" i="1"/>
  <c r="G1324" i="1"/>
  <c r="G1323" i="1"/>
  <c r="G1322" i="1"/>
  <c r="B122" i="2" s="1"/>
  <c r="E122" i="2" s="1"/>
  <c r="F122" i="2" s="1"/>
  <c r="G1321" i="1"/>
  <c r="G1320" i="1"/>
  <c r="G1319" i="1"/>
  <c r="G1318" i="1"/>
  <c r="D121" i="2" s="1"/>
  <c r="G1317" i="1"/>
  <c r="G1316" i="1"/>
  <c r="G1315" i="1"/>
  <c r="C121" i="2" s="1"/>
  <c r="G1314" i="1"/>
  <c r="G1313" i="1"/>
  <c r="G1312" i="1"/>
  <c r="G1311" i="1"/>
  <c r="B121" i="2" s="1"/>
  <c r="E121" i="2" s="1"/>
  <c r="F121" i="2" s="1"/>
  <c r="G1310" i="1"/>
  <c r="G1309" i="1"/>
  <c r="G1308" i="1"/>
  <c r="G1307" i="1"/>
  <c r="D120" i="2" s="1"/>
  <c r="G1306" i="1"/>
  <c r="G1305" i="1"/>
  <c r="G1304" i="1"/>
  <c r="C120" i="2" s="1"/>
  <c r="G1303" i="1"/>
  <c r="G1302" i="1"/>
  <c r="G1301" i="1"/>
  <c r="G1300" i="1"/>
  <c r="B120" i="2" s="1"/>
  <c r="E120" i="2" s="1"/>
  <c r="F120" i="2" s="1"/>
  <c r="G1299" i="1"/>
  <c r="G1298" i="1"/>
  <c r="G1297" i="1"/>
  <c r="G1296" i="1"/>
  <c r="D119" i="2" s="1"/>
  <c r="G1295" i="1"/>
  <c r="G1294" i="1"/>
  <c r="G1293" i="1"/>
  <c r="C119" i="2" s="1"/>
  <c r="G1292" i="1"/>
  <c r="G1291" i="1"/>
  <c r="G1290" i="1"/>
  <c r="G1289" i="1"/>
  <c r="B119" i="2" s="1"/>
  <c r="E119" i="2" s="1"/>
  <c r="F119" i="2" s="1"/>
  <c r="G1288" i="1"/>
  <c r="G1287" i="1"/>
  <c r="G1286" i="1"/>
  <c r="G1285" i="1"/>
  <c r="D118" i="2" s="1"/>
  <c r="G1284" i="1"/>
  <c r="G1283" i="1"/>
  <c r="G1282" i="1"/>
  <c r="C118" i="2" s="1"/>
  <c r="G1281" i="1"/>
  <c r="G1280" i="1"/>
  <c r="G1279" i="1"/>
  <c r="G1278" i="1"/>
  <c r="B118" i="2" s="1"/>
  <c r="E118" i="2" s="1"/>
  <c r="F118" i="2" s="1"/>
  <c r="G1277" i="1"/>
  <c r="G1276" i="1"/>
  <c r="G1275" i="1"/>
  <c r="G1274" i="1"/>
  <c r="D117" i="2" s="1"/>
  <c r="G1273" i="1"/>
  <c r="G1272" i="1"/>
  <c r="G1271" i="1"/>
  <c r="C117" i="2" s="1"/>
  <c r="G1270" i="1"/>
  <c r="G1269" i="1"/>
  <c r="G1268" i="1"/>
  <c r="G1267" i="1"/>
  <c r="B117" i="2" s="1"/>
  <c r="E117" i="2" s="1"/>
  <c r="F117" i="2" s="1"/>
  <c r="G1266" i="1"/>
  <c r="G1265" i="1"/>
  <c r="G1264" i="1"/>
  <c r="G1263" i="1"/>
  <c r="D116" i="2" s="1"/>
  <c r="G1262" i="1"/>
  <c r="G1261" i="1"/>
  <c r="G1260" i="1"/>
  <c r="C116" i="2" s="1"/>
  <c r="G1259" i="1"/>
  <c r="G1258" i="1"/>
  <c r="G1257" i="1"/>
  <c r="G1256" i="1"/>
  <c r="B116" i="2" s="1"/>
  <c r="E116" i="2" s="1"/>
  <c r="F116" i="2" s="1"/>
  <c r="G1255" i="1"/>
  <c r="G1254" i="1"/>
  <c r="G1253" i="1"/>
  <c r="G1252" i="1"/>
  <c r="D115" i="2" s="1"/>
  <c r="G1251" i="1"/>
  <c r="G1250" i="1"/>
  <c r="G1249" i="1"/>
  <c r="C115" i="2" s="1"/>
  <c r="G1248" i="1"/>
  <c r="G1247" i="1"/>
  <c r="G1246" i="1"/>
  <c r="G1245" i="1"/>
  <c r="B115" i="2" s="1"/>
  <c r="E115" i="2" s="1"/>
  <c r="F115" i="2" s="1"/>
  <c r="G1244" i="1"/>
  <c r="G1243" i="1"/>
  <c r="G1242" i="1"/>
  <c r="G1241" i="1"/>
  <c r="D114" i="2" s="1"/>
  <c r="G1240" i="1"/>
  <c r="G1239" i="1"/>
  <c r="G1238" i="1"/>
  <c r="C114" i="2" s="1"/>
  <c r="G1237" i="1"/>
  <c r="G1236" i="1"/>
  <c r="G1235" i="1"/>
  <c r="G1234" i="1"/>
  <c r="B114" i="2" s="1"/>
  <c r="E114" i="2" s="1"/>
  <c r="F114" i="2" s="1"/>
  <c r="G1233" i="1"/>
  <c r="G1232" i="1"/>
  <c r="G1231" i="1"/>
  <c r="G1230" i="1"/>
  <c r="D113" i="2" s="1"/>
  <c r="G1229" i="1"/>
  <c r="G1228" i="1"/>
  <c r="G1227" i="1"/>
  <c r="C113" i="2" s="1"/>
  <c r="G1226" i="1"/>
  <c r="G1225" i="1"/>
  <c r="G1224" i="1"/>
  <c r="G1223" i="1"/>
  <c r="B113" i="2" s="1"/>
  <c r="E113" i="2" s="1"/>
  <c r="F113" i="2" s="1"/>
  <c r="G1222" i="1"/>
  <c r="G1221" i="1"/>
  <c r="G1220" i="1"/>
  <c r="G1219" i="1"/>
  <c r="D112" i="2" s="1"/>
  <c r="G1218" i="1"/>
  <c r="G1217" i="1"/>
  <c r="G1216" i="1"/>
  <c r="C112" i="2" s="1"/>
  <c r="G1215" i="1"/>
  <c r="G1214" i="1"/>
  <c r="G1213" i="1"/>
  <c r="G1212" i="1"/>
  <c r="B112" i="2" s="1"/>
  <c r="E112" i="2" s="1"/>
  <c r="F112" i="2" s="1"/>
  <c r="G1211" i="1"/>
  <c r="G1210" i="1"/>
  <c r="G1209" i="1"/>
  <c r="G1208" i="1"/>
  <c r="D111" i="2" s="1"/>
  <c r="G1207" i="1"/>
  <c r="G1206" i="1"/>
  <c r="G1205" i="1"/>
  <c r="C111" i="2" s="1"/>
  <c r="G1204" i="1"/>
  <c r="G1203" i="1"/>
  <c r="G1202" i="1"/>
  <c r="G1201" i="1"/>
  <c r="B111" i="2" s="1"/>
  <c r="E111" i="2" s="1"/>
  <c r="F111" i="2" s="1"/>
  <c r="G1200" i="1"/>
  <c r="G1199" i="1"/>
  <c r="G1198" i="1"/>
  <c r="G1197" i="1"/>
  <c r="D110" i="2" s="1"/>
  <c r="G1196" i="1"/>
  <c r="G1195" i="1"/>
  <c r="G1194" i="1"/>
  <c r="C110" i="2" s="1"/>
  <c r="G1193" i="1"/>
  <c r="G1192" i="1"/>
  <c r="G1191" i="1"/>
  <c r="G1190" i="1"/>
  <c r="B110" i="2" s="1"/>
  <c r="E110" i="2" s="1"/>
  <c r="F110" i="2" s="1"/>
  <c r="G1189" i="1"/>
  <c r="G1188" i="1"/>
  <c r="G1187" i="1"/>
  <c r="G1186" i="1"/>
  <c r="D109" i="2" s="1"/>
  <c r="G1185" i="1"/>
  <c r="G1184" i="1"/>
  <c r="G1183" i="1"/>
  <c r="C109" i="2" s="1"/>
  <c r="G1182" i="1"/>
  <c r="G1181" i="1"/>
  <c r="G1180" i="1"/>
  <c r="G1179" i="1"/>
  <c r="B109" i="2" s="1"/>
  <c r="E109" i="2" s="1"/>
  <c r="F109" i="2" s="1"/>
  <c r="G1178" i="1"/>
  <c r="G1177" i="1"/>
  <c r="G1176" i="1"/>
  <c r="G1175" i="1"/>
  <c r="D108" i="2" s="1"/>
  <c r="G1174" i="1"/>
  <c r="G1173" i="1"/>
  <c r="G1172" i="1"/>
  <c r="C108" i="2" s="1"/>
  <c r="G1171" i="1"/>
  <c r="G1170" i="1"/>
  <c r="G1169" i="1"/>
  <c r="G1168" i="1"/>
  <c r="B108" i="2" s="1"/>
  <c r="E108" i="2" s="1"/>
  <c r="F108" i="2" s="1"/>
  <c r="G1167" i="1"/>
  <c r="G1166" i="1"/>
  <c r="G1165" i="1"/>
  <c r="G1164" i="1"/>
  <c r="D107" i="2" s="1"/>
  <c r="G1163" i="1"/>
  <c r="G1162" i="1"/>
  <c r="G1161" i="1"/>
  <c r="C107" i="2" s="1"/>
  <c r="G1160" i="1"/>
  <c r="G1159" i="1"/>
  <c r="G1158" i="1"/>
  <c r="G1157" i="1"/>
  <c r="B107" i="2" s="1"/>
  <c r="E107" i="2" s="1"/>
  <c r="F107" i="2" s="1"/>
  <c r="G1156" i="1"/>
  <c r="G1155" i="1"/>
  <c r="G1154" i="1"/>
  <c r="G1153" i="1"/>
  <c r="D106" i="2" s="1"/>
  <c r="G1152" i="1"/>
  <c r="G1151" i="1"/>
  <c r="G1150" i="1"/>
  <c r="C106" i="2" s="1"/>
  <c r="G1149" i="1"/>
  <c r="G1148" i="1"/>
  <c r="G1147" i="1"/>
  <c r="G1146" i="1"/>
  <c r="B106" i="2" s="1"/>
  <c r="E106" i="2" s="1"/>
  <c r="F106" i="2" s="1"/>
  <c r="G1145" i="1"/>
  <c r="G1144" i="1"/>
  <c r="G1143" i="1"/>
  <c r="G1142" i="1"/>
  <c r="D105" i="2" s="1"/>
  <c r="G1141" i="1"/>
  <c r="G1140" i="1"/>
  <c r="G1139" i="1"/>
  <c r="C105" i="2" s="1"/>
  <c r="G1138" i="1"/>
  <c r="G1137" i="1"/>
  <c r="G1136" i="1"/>
  <c r="G1135" i="1"/>
  <c r="B105" i="2" s="1"/>
  <c r="E105" i="2" s="1"/>
  <c r="F105" i="2" s="1"/>
  <c r="G1134" i="1"/>
  <c r="G1133" i="1"/>
  <c r="G1132" i="1"/>
  <c r="G1131" i="1"/>
  <c r="D104" i="2" s="1"/>
  <c r="G1130" i="1"/>
  <c r="G1129" i="1"/>
  <c r="G1128" i="1"/>
  <c r="C104" i="2" s="1"/>
  <c r="G1127" i="1"/>
  <c r="G1126" i="1"/>
  <c r="G1125" i="1"/>
  <c r="G1124" i="1"/>
  <c r="B104" i="2" s="1"/>
  <c r="E104" i="2" s="1"/>
  <c r="F104" i="2" s="1"/>
  <c r="G1123" i="1"/>
  <c r="G1122" i="1"/>
  <c r="G1121" i="1"/>
  <c r="G1120" i="1"/>
  <c r="D103" i="2" s="1"/>
  <c r="G1119" i="1"/>
  <c r="G1118" i="1"/>
  <c r="G1117" i="1"/>
  <c r="C103" i="2" s="1"/>
  <c r="G1116" i="1"/>
  <c r="G1115" i="1"/>
  <c r="G1114" i="1"/>
  <c r="G1113" i="1"/>
  <c r="B103" i="2" s="1"/>
  <c r="E103" i="2" s="1"/>
  <c r="F103" i="2" s="1"/>
  <c r="G1112" i="1"/>
  <c r="G1111" i="1"/>
  <c r="G1110" i="1"/>
  <c r="G1109" i="1"/>
  <c r="D102" i="2" s="1"/>
  <c r="G1108" i="1"/>
  <c r="G1107" i="1"/>
  <c r="G1106" i="1"/>
  <c r="C102" i="2" s="1"/>
  <c r="G1105" i="1"/>
  <c r="G1104" i="1"/>
  <c r="G1103" i="1"/>
  <c r="G1102" i="1"/>
  <c r="B102" i="2" s="1"/>
  <c r="E102" i="2" s="1"/>
  <c r="F102" i="2" s="1"/>
  <c r="G1101" i="1"/>
  <c r="G1100" i="1"/>
  <c r="G1099" i="1"/>
  <c r="G1098" i="1"/>
  <c r="D101" i="2" s="1"/>
  <c r="G1097" i="1"/>
  <c r="G1096" i="1"/>
  <c r="G1095" i="1"/>
  <c r="C101" i="2" s="1"/>
  <c r="G1094" i="1"/>
  <c r="G1093" i="1"/>
  <c r="G1092" i="1"/>
  <c r="G1091" i="1"/>
  <c r="B101" i="2" s="1"/>
  <c r="E101" i="2" s="1"/>
  <c r="F101" i="2" s="1"/>
  <c r="G1090" i="1"/>
  <c r="G1089" i="1"/>
  <c r="G1088" i="1"/>
  <c r="G1087" i="1"/>
  <c r="D100" i="2" s="1"/>
  <c r="G1086" i="1"/>
  <c r="G1085" i="1"/>
  <c r="G1084" i="1"/>
  <c r="C100" i="2" s="1"/>
  <c r="G1083" i="1"/>
  <c r="G1082" i="1"/>
  <c r="G1081" i="1"/>
  <c r="G1080" i="1"/>
  <c r="B100" i="2" s="1"/>
  <c r="E100" i="2" s="1"/>
  <c r="F100" i="2" s="1"/>
  <c r="G1079" i="1"/>
  <c r="G1078" i="1"/>
  <c r="G1077" i="1"/>
  <c r="G1076" i="1"/>
  <c r="D99" i="2" s="1"/>
  <c r="G1075" i="1"/>
  <c r="G1074" i="1"/>
  <c r="G1073" i="1"/>
  <c r="C99" i="2" s="1"/>
  <c r="G1072" i="1"/>
  <c r="G1071" i="1"/>
  <c r="G1070" i="1"/>
  <c r="G1069" i="1"/>
  <c r="B99" i="2" s="1"/>
  <c r="E99" i="2" s="1"/>
  <c r="F99" i="2" s="1"/>
  <c r="G1068" i="1"/>
  <c r="G1067" i="1"/>
  <c r="G1066" i="1"/>
  <c r="G1065" i="1"/>
  <c r="D98" i="2" s="1"/>
  <c r="G1064" i="1"/>
  <c r="G1063" i="1"/>
  <c r="G1062" i="1"/>
  <c r="C98" i="2" s="1"/>
  <c r="G1061" i="1"/>
  <c r="G1060" i="1"/>
  <c r="G1059" i="1"/>
  <c r="G1058" i="1"/>
  <c r="B98" i="2" s="1"/>
  <c r="E98" i="2" s="1"/>
  <c r="F98" i="2" s="1"/>
  <c r="G1057" i="1"/>
  <c r="G1056" i="1"/>
  <c r="G1055" i="1"/>
  <c r="G1054" i="1"/>
  <c r="D97" i="2" s="1"/>
  <c r="G1053" i="1"/>
  <c r="G1052" i="1"/>
  <c r="G1051" i="1"/>
  <c r="C97" i="2" s="1"/>
  <c r="G1050" i="1"/>
  <c r="G1049" i="1"/>
  <c r="G1048" i="1"/>
  <c r="G1047" i="1"/>
  <c r="B97" i="2" s="1"/>
  <c r="E97" i="2" s="1"/>
  <c r="F97" i="2" s="1"/>
  <c r="G1046" i="1"/>
  <c r="G1045" i="1"/>
  <c r="G1044" i="1"/>
  <c r="G1043" i="1"/>
  <c r="D96" i="2" s="1"/>
  <c r="G1042" i="1"/>
  <c r="G1041" i="1"/>
  <c r="G1040" i="1"/>
  <c r="C96" i="2" s="1"/>
  <c r="G1039" i="1"/>
  <c r="G1038" i="1"/>
  <c r="G1037" i="1"/>
  <c r="G1036" i="1"/>
  <c r="B96" i="2" s="1"/>
  <c r="E96" i="2" s="1"/>
  <c r="F96" i="2" s="1"/>
  <c r="G1035" i="1"/>
  <c r="G1034" i="1"/>
  <c r="G1033" i="1"/>
  <c r="G1032" i="1"/>
  <c r="D95" i="2" s="1"/>
  <c r="G1031" i="1"/>
  <c r="G1030" i="1"/>
  <c r="G1029" i="1"/>
  <c r="C95" i="2" s="1"/>
  <c r="G1028" i="1"/>
  <c r="G1027" i="1"/>
  <c r="G1026" i="1"/>
  <c r="G1025" i="1"/>
  <c r="B95" i="2" s="1"/>
  <c r="E95" i="2" s="1"/>
  <c r="F95" i="2" s="1"/>
  <c r="G1024" i="1"/>
  <c r="G1023" i="1"/>
  <c r="G1022" i="1"/>
  <c r="G1021" i="1"/>
  <c r="D94" i="2" s="1"/>
  <c r="G1020" i="1"/>
  <c r="G1019" i="1"/>
  <c r="G1018" i="1"/>
  <c r="C94" i="2" s="1"/>
  <c r="G1017" i="1"/>
  <c r="G1016" i="1"/>
  <c r="G1015" i="1"/>
  <c r="G1014" i="1"/>
  <c r="B94" i="2" s="1"/>
  <c r="E94" i="2" s="1"/>
  <c r="F94" i="2" s="1"/>
  <c r="G1013" i="1"/>
  <c r="G1012" i="1"/>
  <c r="G1011" i="1"/>
  <c r="G1010" i="1"/>
  <c r="D93" i="2" s="1"/>
  <c r="G1009" i="1"/>
  <c r="G1008" i="1"/>
  <c r="G1007" i="1"/>
  <c r="C93" i="2" s="1"/>
  <c r="G1006" i="1"/>
  <c r="G1005" i="1"/>
  <c r="G1004" i="1"/>
  <c r="G1003" i="1"/>
  <c r="B93" i="2" s="1"/>
  <c r="E93" i="2" s="1"/>
  <c r="F93" i="2" s="1"/>
  <c r="G1002" i="1"/>
  <c r="G1001" i="1"/>
  <c r="G1000" i="1"/>
  <c r="G999" i="1"/>
  <c r="D92" i="2" s="1"/>
  <c r="G998" i="1"/>
  <c r="G997" i="1"/>
  <c r="G996" i="1"/>
  <c r="C92" i="2" s="1"/>
  <c r="G995" i="1"/>
  <c r="G994" i="1"/>
  <c r="G993" i="1"/>
  <c r="G992" i="1"/>
  <c r="B92" i="2" s="1"/>
  <c r="E92" i="2" s="1"/>
  <c r="F92" i="2" s="1"/>
  <c r="G991" i="1"/>
  <c r="G990" i="1"/>
  <c r="G989" i="1"/>
  <c r="G988" i="1"/>
  <c r="D91" i="2" s="1"/>
  <c r="G987" i="1"/>
  <c r="G986" i="1"/>
  <c r="G985" i="1"/>
  <c r="C91" i="2" s="1"/>
  <c r="G984" i="1"/>
  <c r="G983" i="1"/>
  <c r="G982" i="1"/>
  <c r="G981" i="1"/>
  <c r="B91" i="2" s="1"/>
  <c r="E91" i="2" s="1"/>
  <c r="F91" i="2" s="1"/>
  <c r="G980" i="1"/>
  <c r="G979" i="1"/>
  <c r="G978" i="1"/>
  <c r="G977" i="1"/>
  <c r="D90" i="2" s="1"/>
  <c r="G976" i="1"/>
  <c r="G975" i="1"/>
  <c r="G974" i="1"/>
  <c r="C90" i="2" s="1"/>
  <c r="G973" i="1"/>
  <c r="G972" i="1"/>
  <c r="G971" i="1"/>
  <c r="G970" i="1"/>
  <c r="B90" i="2" s="1"/>
  <c r="E90" i="2" s="1"/>
  <c r="F90" i="2" s="1"/>
  <c r="G969" i="1"/>
  <c r="G968" i="1"/>
  <c r="G967" i="1"/>
  <c r="G966" i="1"/>
  <c r="D89" i="2" s="1"/>
  <c r="G965" i="1"/>
  <c r="G964" i="1"/>
  <c r="G963" i="1"/>
  <c r="C89" i="2" s="1"/>
  <c r="G962" i="1"/>
  <c r="G961" i="1"/>
  <c r="G960" i="1"/>
  <c r="G959" i="1"/>
  <c r="B89" i="2" s="1"/>
  <c r="E89" i="2" s="1"/>
  <c r="F89" i="2" s="1"/>
  <c r="G958" i="1"/>
  <c r="G957" i="1"/>
  <c r="G956" i="1"/>
  <c r="G955" i="1"/>
  <c r="D88" i="2" s="1"/>
  <c r="G954" i="1"/>
  <c r="G953" i="1"/>
  <c r="G952" i="1"/>
  <c r="C88" i="2" s="1"/>
  <c r="G951" i="1"/>
  <c r="G950" i="1"/>
  <c r="G949" i="1"/>
  <c r="G948" i="1"/>
  <c r="B88" i="2" s="1"/>
  <c r="E88" i="2" s="1"/>
  <c r="F88" i="2" s="1"/>
  <c r="G947" i="1"/>
  <c r="G946" i="1"/>
  <c r="G945" i="1"/>
  <c r="G944" i="1"/>
  <c r="D87" i="2" s="1"/>
  <c r="G943" i="1"/>
  <c r="G942" i="1"/>
  <c r="G941" i="1"/>
  <c r="C87" i="2" s="1"/>
  <c r="G940" i="1"/>
  <c r="G939" i="1"/>
  <c r="G938" i="1"/>
  <c r="G937" i="1"/>
  <c r="B87" i="2" s="1"/>
  <c r="E87" i="2" s="1"/>
  <c r="F87" i="2" s="1"/>
  <c r="G936" i="1"/>
  <c r="G935" i="1"/>
  <c r="G934" i="1"/>
  <c r="G933" i="1"/>
  <c r="D86" i="2" s="1"/>
  <c r="G932" i="1"/>
  <c r="G931" i="1"/>
  <c r="G930" i="1"/>
  <c r="C86" i="2" s="1"/>
  <c r="G929" i="1"/>
  <c r="G928" i="1"/>
  <c r="G927" i="1"/>
  <c r="G926" i="1"/>
  <c r="B86" i="2" s="1"/>
  <c r="E86" i="2" s="1"/>
  <c r="F86" i="2" s="1"/>
  <c r="G925" i="1"/>
  <c r="G924" i="1"/>
  <c r="G923" i="1"/>
  <c r="G922" i="1"/>
  <c r="D85" i="2" s="1"/>
  <c r="G921" i="1"/>
  <c r="G920" i="1"/>
  <c r="G919" i="1"/>
  <c r="C85" i="2" s="1"/>
  <c r="G918" i="1"/>
  <c r="G917" i="1"/>
  <c r="G916" i="1"/>
  <c r="G915" i="1"/>
  <c r="B85" i="2" s="1"/>
  <c r="E85" i="2" s="1"/>
  <c r="F85" i="2" s="1"/>
  <c r="G914" i="1"/>
  <c r="G913" i="1"/>
  <c r="G912" i="1"/>
  <c r="G911" i="1"/>
  <c r="D84" i="2" s="1"/>
  <c r="G910" i="1"/>
  <c r="G909" i="1"/>
  <c r="G908" i="1"/>
  <c r="C84" i="2" s="1"/>
  <c r="G907" i="1"/>
  <c r="G906" i="1"/>
  <c r="G905" i="1"/>
  <c r="G904" i="1"/>
  <c r="B84" i="2" s="1"/>
  <c r="E84" i="2" s="1"/>
  <c r="F84" i="2" s="1"/>
  <c r="G903" i="1"/>
  <c r="G902" i="1"/>
  <c r="G901" i="1"/>
  <c r="G900" i="1"/>
  <c r="D83" i="2" s="1"/>
  <c r="G899" i="1"/>
  <c r="G898" i="1"/>
  <c r="G897" i="1"/>
  <c r="C83" i="2" s="1"/>
  <c r="G896" i="1"/>
  <c r="G895" i="1"/>
  <c r="G894" i="1"/>
  <c r="G893" i="1"/>
  <c r="B83" i="2" s="1"/>
  <c r="E83" i="2" s="1"/>
  <c r="F83" i="2" s="1"/>
  <c r="G892" i="1"/>
  <c r="G891" i="1"/>
  <c r="G890" i="1"/>
  <c r="G889" i="1"/>
  <c r="D82" i="2" s="1"/>
  <c r="G888" i="1"/>
  <c r="G887" i="1"/>
  <c r="G886" i="1"/>
  <c r="C82" i="2" s="1"/>
  <c r="G885" i="1"/>
  <c r="G884" i="1"/>
  <c r="G883" i="1"/>
  <c r="G882" i="1"/>
  <c r="B82" i="2" s="1"/>
  <c r="E82" i="2" s="1"/>
  <c r="F82" i="2" s="1"/>
  <c r="G881" i="1"/>
  <c r="G880" i="1"/>
  <c r="G879" i="1"/>
  <c r="G878" i="1"/>
  <c r="D81" i="2" s="1"/>
  <c r="G877" i="1"/>
  <c r="G876" i="1"/>
  <c r="G875" i="1"/>
  <c r="C81" i="2" s="1"/>
  <c r="G874" i="1"/>
  <c r="G873" i="1"/>
  <c r="G872" i="1"/>
  <c r="G871" i="1"/>
  <c r="B81" i="2" s="1"/>
  <c r="E81" i="2" s="1"/>
  <c r="F81" i="2" s="1"/>
  <c r="G870" i="1"/>
  <c r="G869" i="1"/>
  <c r="G868" i="1"/>
  <c r="G867" i="1"/>
  <c r="D80" i="2" s="1"/>
  <c r="G866" i="1"/>
  <c r="G865" i="1"/>
  <c r="G864" i="1"/>
  <c r="C80" i="2" s="1"/>
  <c r="G863" i="1"/>
  <c r="G862" i="1"/>
  <c r="G861" i="1"/>
  <c r="G860" i="1"/>
  <c r="B80" i="2" s="1"/>
  <c r="E80" i="2" s="1"/>
  <c r="F80" i="2" s="1"/>
  <c r="G859" i="1"/>
  <c r="G858" i="1"/>
  <c r="G857" i="1"/>
  <c r="G856" i="1"/>
  <c r="D79" i="2" s="1"/>
  <c r="G855" i="1"/>
  <c r="G854" i="1"/>
  <c r="G853" i="1"/>
  <c r="C79" i="2" s="1"/>
  <c r="G852" i="1"/>
  <c r="G851" i="1"/>
  <c r="G850" i="1"/>
  <c r="G849" i="1"/>
  <c r="B79" i="2" s="1"/>
  <c r="E79" i="2" s="1"/>
  <c r="F79" i="2" s="1"/>
  <c r="G848" i="1"/>
  <c r="G847" i="1"/>
  <c r="G846" i="1"/>
  <c r="G845" i="1"/>
  <c r="D78" i="2" s="1"/>
  <c r="G844" i="1"/>
  <c r="G843" i="1"/>
  <c r="G842" i="1"/>
  <c r="C78" i="2" s="1"/>
  <c r="G841" i="1"/>
  <c r="G840" i="1"/>
  <c r="G839" i="1"/>
  <c r="G838" i="1"/>
  <c r="B78" i="2" s="1"/>
  <c r="E78" i="2" s="1"/>
  <c r="F78" i="2" s="1"/>
  <c r="G837" i="1"/>
  <c r="G836" i="1"/>
  <c r="G835" i="1"/>
  <c r="G834" i="1"/>
  <c r="D77" i="2" s="1"/>
  <c r="G833" i="1"/>
  <c r="G832" i="1"/>
  <c r="G831" i="1"/>
  <c r="C77" i="2" s="1"/>
  <c r="G830" i="1"/>
  <c r="G829" i="1"/>
  <c r="G828" i="1"/>
  <c r="G827" i="1"/>
  <c r="B77" i="2" s="1"/>
  <c r="E77" i="2" s="1"/>
  <c r="F77" i="2" s="1"/>
  <c r="G826" i="1"/>
  <c r="G825" i="1"/>
  <c r="G824" i="1"/>
  <c r="G823" i="1"/>
  <c r="D76" i="2" s="1"/>
  <c r="G822" i="1"/>
  <c r="G821" i="1"/>
  <c r="G820" i="1"/>
  <c r="C76" i="2" s="1"/>
  <c r="G819" i="1"/>
  <c r="G818" i="1"/>
  <c r="G817" i="1"/>
  <c r="G816" i="1"/>
  <c r="B76" i="2" s="1"/>
  <c r="E76" i="2" s="1"/>
  <c r="F76" i="2" s="1"/>
  <c r="G815" i="1"/>
  <c r="G814" i="1"/>
  <c r="G813" i="1"/>
  <c r="G812" i="1"/>
  <c r="D75" i="2" s="1"/>
  <c r="G811" i="1"/>
  <c r="G810" i="1"/>
  <c r="G809" i="1"/>
  <c r="C75" i="2" s="1"/>
  <c r="G808" i="1"/>
  <c r="G807" i="1"/>
  <c r="G806" i="1"/>
  <c r="G805" i="1"/>
  <c r="B75" i="2" s="1"/>
  <c r="E75" i="2" s="1"/>
  <c r="F75" i="2" s="1"/>
  <c r="G804" i="1"/>
  <c r="G803" i="1"/>
  <c r="G802" i="1"/>
  <c r="G801" i="1"/>
  <c r="D74" i="2" s="1"/>
  <c r="G800" i="1"/>
  <c r="G799" i="1"/>
  <c r="G798" i="1"/>
  <c r="C74" i="2" s="1"/>
  <c r="G797" i="1"/>
  <c r="G796" i="1"/>
  <c r="G795" i="1"/>
  <c r="G794" i="1"/>
  <c r="B74" i="2" s="1"/>
  <c r="E74" i="2" s="1"/>
  <c r="F74" i="2" s="1"/>
  <c r="G793" i="1"/>
  <c r="G792" i="1"/>
  <c r="G791" i="1"/>
  <c r="G790" i="1"/>
  <c r="D73" i="2" s="1"/>
  <c r="G789" i="1"/>
  <c r="G788" i="1"/>
  <c r="G787" i="1"/>
  <c r="C73" i="2" s="1"/>
  <c r="G786" i="1"/>
  <c r="G785" i="1"/>
  <c r="G784" i="1"/>
  <c r="G783" i="1"/>
  <c r="B73" i="2" s="1"/>
  <c r="E73" i="2" s="1"/>
  <c r="F73" i="2" s="1"/>
  <c r="G782" i="1"/>
  <c r="G781" i="1"/>
  <c r="G780" i="1"/>
  <c r="G779" i="1"/>
  <c r="D72" i="2" s="1"/>
  <c r="G778" i="1"/>
  <c r="G777" i="1"/>
  <c r="G776" i="1"/>
  <c r="C72" i="2" s="1"/>
  <c r="G775" i="1"/>
  <c r="G774" i="1"/>
  <c r="G773" i="1"/>
  <c r="G772" i="1"/>
  <c r="B72" i="2" s="1"/>
  <c r="E72" i="2" s="1"/>
  <c r="F72" i="2" s="1"/>
  <c r="G771" i="1"/>
  <c r="G770" i="1"/>
  <c r="G769" i="1"/>
  <c r="G768" i="1"/>
  <c r="D71" i="2" s="1"/>
  <c r="G767" i="1"/>
  <c r="G766" i="1"/>
  <c r="G765" i="1"/>
  <c r="C71" i="2" s="1"/>
  <c r="G764" i="1"/>
  <c r="G763" i="1"/>
  <c r="G762" i="1"/>
  <c r="G761" i="1"/>
  <c r="B71" i="2" s="1"/>
  <c r="E71" i="2" s="1"/>
  <c r="F71" i="2" s="1"/>
  <c r="G760" i="1"/>
  <c r="G759" i="1"/>
  <c r="G758" i="1"/>
  <c r="G757" i="1"/>
  <c r="D70" i="2" s="1"/>
  <c r="G756" i="1"/>
  <c r="G755" i="1"/>
  <c r="G754" i="1"/>
  <c r="C70" i="2" s="1"/>
  <c r="G753" i="1"/>
  <c r="G752" i="1"/>
  <c r="G751" i="1"/>
  <c r="G750" i="1"/>
  <c r="B70" i="2" s="1"/>
  <c r="E70" i="2" s="1"/>
  <c r="F70" i="2" s="1"/>
  <c r="G749" i="1"/>
  <c r="G748" i="1"/>
  <c r="G747" i="1"/>
  <c r="G746" i="1"/>
  <c r="D69" i="2" s="1"/>
  <c r="G745" i="1"/>
  <c r="G744" i="1"/>
  <c r="G743" i="1"/>
  <c r="C69" i="2" s="1"/>
  <c r="G742" i="1"/>
  <c r="G741" i="1"/>
  <c r="G740" i="1"/>
  <c r="G739" i="1"/>
  <c r="B69" i="2" s="1"/>
  <c r="E69" i="2" s="1"/>
  <c r="F69" i="2" s="1"/>
  <c r="G738" i="1"/>
  <c r="G737" i="1"/>
  <c r="G736" i="1"/>
  <c r="G735" i="1"/>
  <c r="D68" i="2" s="1"/>
  <c r="G734" i="1"/>
  <c r="G733" i="1"/>
  <c r="G732" i="1"/>
  <c r="C68" i="2" s="1"/>
  <c r="G731" i="1"/>
  <c r="G730" i="1"/>
  <c r="G729" i="1"/>
  <c r="G728" i="1"/>
  <c r="B68" i="2" s="1"/>
  <c r="E68" i="2" s="1"/>
  <c r="F68" i="2" s="1"/>
  <c r="G727" i="1"/>
  <c r="G726" i="1"/>
  <c r="G725" i="1"/>
  <c r="G724" i="1"/>
  <c r="D67" i="2" s="1"/>
  <c r="G723" i="1"/>
  <c r="G722" i="1"/>
  <c r="G721" i="1"/>
  <c r="C67" i="2" s="1"/>
  <c r="G720" i="1"/>
  <c r="G719" i="1"/>
  <c r="G718" i="1"/>
  <c r="G717" i="1"/>
  <c r="B67" i="2" s="1"/>
  <c r="E67" i="2" s="1"/>
  <c r="F67" i="2" s="1"/>
  <c r="G716" i="1"/>
  <c r="G715" i="1"/>
  <c r="G714" i="1"/>
  <c r="G713" i="1"/>
  <c r="D66" i="2" s="1"/>
  <c r="G712" i="1"/>
  <c r="G711" i="1"/>
  <c r="G710" i="1"/>
  <c r="C66" i="2" s="1"/>
  <c r="G709" i="1"/>
  <c r="G708" i="1"/>
  <c r="G707" i="1"/>
  <c r="G706" i="1"/>
  <c r="B66" i="2" s="1"/>
  <c r="E66" i="2" s="1"/>
  <c r="F66" i="2" s="1"/>
  <c r="G705" i="1"/>
  <c r="G704" i="1"/>
  <c r="G703" i="1"/>
  <c r="G702" i="1"/>
  <c r="D65" i="2" s="1"/>
  <c r="G701" i="1"/>
  <c r="G700" i="1"/>
  <c r="G699" i="1"/>
  <c r="C65" i="2" s="1"/>
  <c r="G698" i="1"/>
  <c r="G697" i="1"/>
  <c r="G696" i="1"/>
  <c r="G695" i="1"/>
  <c r="B65" i="2" s="1"/>
  <c r="E65" i="2" s="1"/>
  <c r="F65" i="2" s="1"/>
  <c r="G694" i="1"/>
  <c r="G693" i="1"/>
  <c r="G692" i="1"/>
  <c r="G691" i="1"/>
  <c r="D64" i="2" s="1"/>
  <c r="G690" i="1"/>
  <c r="G689" i="1"/>
  <c r="G688" i="1"/>
  <c r="C64" i="2" s="1"/>
  <c r="G687" i="1"/>
  <c r="G686" i="1"/>
  <c r="G685" i="1"/>
  <c r="G684" i="1"/>
  <c r="B64" i="2" s="1"/>
  <c r="E64" i="2" s="1"/>
  <c r="F64" i="2" s="1"/>
  <c r="G683" i="1"/>
  <c r="G682" i="1"/>
  <c r="G681" i="1"/>
  <c r="G680" i="1"/>
  <c r="D63" i="2" s="1"/>
  <c r="G679" i="1"/>
  <c r="G678" i="1"/>
  <c r="G677" i="1"/>
  <c r="C63" i="2" s="1"/>
  <c r="G676" i="1"/>
  <c r="G675" i="1"/>
  <c r="G674" i="1"/>
  <c r="G673" i="1"/>
  <c r="B63" i="2" s="1"/>
  <c r="E63" i="2" s="1"/>
  <c r="F63" i="2" s="1"/>
  <c r="G672" i="1"/>
  <c r="G671" i="1"/>
  <c r="G670" i="1"/>
  <c r="G669" i="1"/>
  <c r="D62" i="2" s="1"/>
  <c r="G668" i="1"/>
  <c r="G667" i="1"/>
  <c r="G666" i="1"/>
  <c r="C62" i="2" s="1"/>
  <c r="G665" i="1"/>
  <c r="G664" i="1"/>
  <c r="G663" i="1"/>
  <c r="G662" i="1"/>
  <c r="B62" i="2" s="1"/>
  <c r="E62" i="2" s="1"/>
  <c r="F62" i="2" s="1"/>
  <c r="G661" i="1"/>
  <c r="G660" i="1"/>
  <c r="G659" i="1"/>
  <c r="G658" i="1"/>
  <c r="D61" i="2" s="1"/>
  <c r="G657" i="1"/>
  <c r="G656" i="1"/>
  <c r="G655" i="1"/>
  <c r="C61" i="2" s="1"/>
  <c r="G654" i="1"/>
  <c r="G653" i="1"/>
  <c r="G652" i="1"/>
  <c r="G651" i="1"/>
  <c r="B61" i="2" s="1"/>
  <c r="E61" i="2" s="1"/>
  <c r="F61" i="2" s="1"/>
  <c r="G650" i="1"/>
  <c r="G649" i="1"/>
  <c r="G648" i="1"/>
  <c r="G647" i="1"/>
  <c r="D60" i="2" s="1"/>
  <c r="G646" i="1"/>
  <c r="G645" i="1"/>
  <c r="G644" i="1"/>
  <c r="C60" i="2" s="1"/>
  <c r="G643" i="1"/>
  <c r="G642" i="1"/>
  <c r="G641" i="1"/>
  <c r="G640" i="1"/>
  <c r="B60" i="2" s="1"/>
  <c r="E60" i="2" s="1"/>
  <c r="F60" i="2" s="1"/>
  <c r="G639" i="1"/>
  <c r="G638" i="1"/>
  <c r="G637" i="1"/>
  <c r="G636" i="1"/>
  <c r="D59" i="2" s="1"/>
  <c r="G635" i="1"/>
  <c r="G634" i="1"/>
  <c r="G633" i="1"/>
  <c r="C59" i="2" s="1"/>
  <c r="G632" i="1"/>
  <c r="G631" i="1"/>
  <c r="G630" i="1"/>
  <c r="G629" i="1"/>
  <c r="B59" i="2" s="1"/>
  <c r="E59" i="2" s="1"/>
  <c r="F59" i="2" s="1"/>
  <c r="G628" i="1"/>
  <c r="G627" i="1"/>
  <c r="G626" i="1"/>
  <c r="G625" i="1"/>
  <c r="D58" i="2" s="1"/>
  <c r="G624" i="1"/>
  <c r="G623" i="1"/>
  <c r="G622" i="1"/>
  <c r="C58" i="2" s="1"/>
  <c r="G621" i="1"/>
  <c r="G620" i="1"/>
  <c r="G619" i="1"/>
  <c r="G618" i="1"/>
  <c r="B58" i="2" s="1"/>
  <c r="E58" i="2" s="1"/>
  <c r="F58" i="2" s="1"/>
  <c r="G617" i="1"/>
  <c r="G616" i="1"/>
  <c r="G615" i="1"/>
  <c r="G614" i="1"/>
  <c r="D57" i="2" s="1"/>
  <c r="G613" i="1"/>
  <c r="G612" i="1"/>
  <c r="G611" i="1"/>
  <c r="C57" i="2" s="1"/>
  <c r="G610" i="1"/>
  <c r="G609" i="1"/>
  <c r="G608" i="1"/>
  <c r="G607" i="1"/>
  <c r="B57" i="2" s="1"/>
  <c r="E57" i="2" s="1"/>
  <c r="F57" i="2" s="1"/>
  <c r="G606" i="1"/>
  <c r="G605" i="1"/>
  <c r="G604" i="1"/>
  <c r="G603" i="1"/>
  <c r="D56" i="2" s="1"/>
  <c r="G602" i="1"/>
  <c r="G601" i="1"/>
  <c r="G600" i="1"/>
  <c r="C56" i="2" s="1"/>
  <c r="G599" i="1"/>
  <c r="G598" i="1"/>
  <c r="G597" i="1"/>
  <c r="G596" i="1"/>
  <c r="B56" i="2" s="1"/>
  <c r="E56" i="2" s="1"/>
  <c r="F56" i="2" s="1"/>
  <c r="G595" i="1"/>
  <c r="G594" i="1"/>
  <c r="G593" i="1"/>
  <c r="G592" i="1"/>
  <c r="D55" i="2" s="1"/>
  <c r="G591" i="1"/>
  <c r="G590" i="1"/>
  <c r="G589" i="1"/>
  <c r="C55" i="2" s="1"/>
  <c r="G588" i="1"/>
  <c r="G587" i="1"/>
  <c r="G586" i="1"/>
  <c r="G585" i="1"/>
  <c r="B55" i="2" s="1"/>
  <c r="E55" i="2" s="1"/>
  <c r="F55" i="2" s="1"/>
  <c r="G584" i="1"/>
  <c r="G583" i="1"/>
  <c r="G582" i="1"/>
  <c r="G581" i="1"/>
  <c r="D54" i="2" s="1"/>
  <c r="G580" i="1"/>
  <c r="G579" i="1"/>
  <c r="G578" i="1"/>
  <c r="C54" i="2" s="1"/>
  <c r="G577" i="1"/>
  <c r="G576" i="1"/>
  <c r="G575" i="1"/>
  <c r="G574" i="1"/>
  <c r="B54" i="2" s="1"/>
  <c r="E54" i="2" s="1"/>
  <c r="F54" i="2" s="1"/>
  <c r="G573" i="1"/>
  <c r="G572" i="1"/>
  <c r="G571" i="1"/>
  <c r="G570" i="1"/>
  <c r="D53" i="2" s="1"/>
  <c r="G569" i="1"/>
  <c r="G568" i="1"/>
  <c r="G567" i="1"/>
  <c r="C53" i="2" s="1"/>
  <c r="G566" i="1"/>
  <c r="G565" i="1"/>
  <c r="G564" i="1"/>
  <c r="G563" i="1"/>
  <c r="B53" i="2" s="1"/>
  <c r="E53" i="2" s="1"/>
  <c r="F53" i="2" s="1"/>
  <c r="G562" i="1"/>
  <c r="G561" i="1"/>
  <c r="G560" i="1"/>
  <c r="G559" i="1"/>
  <c r="D52" i="2" s="1"/>
  <c r="G558" i="1"/>
  <c r="G557" i="1"/>
  <c r="G556" i="1"/>
  <c r="C52" i="2" s="1"/>
  <c r="G555" i="1"/>
  <c r="G554" i="1"/>
  <c r="G553" i="1"/>
  <c r="G552" i="1"/>
  <c r="B52" i="2" s="1"/>
  <c r="E52" i="2" s="1"/>
  <c r="F52" i="2" s="1"/>
  <c r="G551" i="1"/>
  <c r="G550" i="1"/>
  <c r="G549" i="1"/>
  <c r="G548" i="1"/>
  <c r="D51" i="2" s="1"/>
  <c r="G547" i="1"/>
  <c r="G546" i="1"/>
  <c r="G545" i="1"/>
  <c r="C51" i="2" s="1"/>
  <c r="G544" i="1"/>
  <c r="G543" i="1"/>
  <c r="G542" i="1"/>
  <c r="G541" i="1"/>
  <c r="B51" i="2" s="1"/>
  <c r="E51" i="2" s="1"/>
  <c r="F51" i="2" s="1"/>
  <c r="G540" i="1"/>
  <c r="G539" i="1"/>
  <c r="G538" i="1"/>
  <c r="G537" i="1"/>
  <c r="D50" i="2" s="1"/>
  <c r="G536" i="1"/>
  <c r="G535" i="1"/>
  <c r="G534" i="1"/>
  <c r="C50" i="2" s="1"/>
  <c r="G533" i="1"/>
  <c r="G532" i="1"/>
  <c r="G531" i="1"/>
  <c r="G530" i="1"/>
  <c r="B50" i="2" s="1"/>
  <c r="E50" i="2" s="1"/>
  <c r="F50" i="2" s="1"/>
  <c r="G529" i="1"/>
  <c r="G528" i="1"/>
  <c r="G527" i="1"/>
  <c r="G526" i="1"/>
  <c r="D49" i="2" s="1"/>
  <c r="G525" i="1"/>
  <c r="G524" i="1"/>
  <c r="G523" i="1"/>
  <c r="C49" i="2" s="1"/>
  <c r="G522" i="1"/>
  <c r="G521" i="1"/>
  <c r="G520" i="1"/>
  <c r="G519" i="1"/>
  <c r="B49" i="2" s="1"/>
  <c r="E49" i="2" s="1"/>
  <c r="F49" i="2" s="1"/>
  <c r="G518" i="1"/>
  <c r="G517" i="1"/>
  <c r="G516" i="1"/>
  <c r="G515" i="1"/>
  <c r="D48" i="2" s="1"/>
  <c r="G514" i="1"/>
  <c r="G513" i="1"/>
  <c r="G512" i="1"/>
  <c r="C48" i="2" s="1"/>
  <c r="G511" i="1"/>
  <c r="G510" i="1"/>
  <c r="G509" i="1"/>
  <c r="G508" i="1"/>
  <c r="B48" i="2" s="1"/>
  <c r="E48" i="2" s="1"/>
  <c r="F48" i="2" s="1"/>
  <c r="G507" i="1"/>
  <c r="G506" i="1"/>
  <c r="G505" i="1"/>
  <c r="G504" i="1"/>
  <c r="D47" i="2" s="1"/>
  <c r="G503" i="1"/>
  <c r="G502" i="1"/>
  <c r="G501" i="1"/>
  <c r="C47" i="2" s="1"/>
  <c r="G500" i="1"/>
  <c r="G499" i="1"/>
  <c r="G498" i="1"/>
  <c r="G497" i="1"/>
  <c r="B47" i="2" s="1"/>
  <c r="E47" i="2" s="1"/>
  <c r="F47" i="2" s="1"/>
  <c r="G496" i="1"/>
  <c r="G495" i="1"/>
  <c r="G494" i="1"/>
  <c r="G493" i="1"/>
  <c r="D46" i="2" s="1"/>
  <c r="G492" i="1"/>
  <c r="G491" i="1"/>
  <c r="G490" i="1"/>
  <c r="C46" i="2" s="1"/>
  <c r="G489" i="1"/>
  <c r="G488" i="1"/>
  <c r="G487" i="1"/>
  <c r="G486" i="1"/>
  <c r="B46" i="2" s="1"/>
  <c r="E46" i="2" s="1"/>
  <c r="F46" i="2" s="1"/>
  <c r="G485" i="1"/>
  <c r="G484" i="1"/>
  <c r="G483" i="1"/>
  <c r="G482" i="1"/>
  <c r="D45" i="2" s="1"/>
  <c r="G481" i="1"/>
  <c r="G480" i="1"/>
  <c r="G479" i="1"/>
  <c r="C45" i="2" s="1"/>
  <c r="G478" i="1"/>
  <c r="G477" i="1"/>
  <c r="G476" i="1"/>
  <c r="G475" i="1"/>
  <c r="B45" i="2" s="1"/>
  <c r="E45" i="2" s="1"/>
  <c r="F45" i="2" s="1"/>
  <c r="G474" i="1"/>
  <c r="G473" i="1"/>
  <c r="G472" i="1"/>
  <c r="G471" i="1"/>
  <c r="D44" i="2" s="1"/>
  <c r="G470" i="1"/>
  <c r="G469" i="1"/>
  <c r="G468" i="1"/>
  <c r="C44" i="2" s="1"/>
  <c r="G467" i="1"/>
  <c r="G466" i="1"/>
  <c r="G465" i="1"/>
  <c r="G464" i="1"/>
  <c r="B44" i="2" s="1"/>
  <c r="E44" i="2" s="1"/>
  <c r="F44" i="2" s="1"/>
  <c r="G463" i="1"/>
  <c r="G462" i="1"/>
  <c r="G461" i="1"/>
  <c r="G460" i="1"/>
  <c r="D43" i="2" s="1"/>
  <c r="G459" i="1"/>
  <c r="G458" i="1"/>
  <c r="G457" i="1"/>
  <c r="C43" i="2" s="1"/>
  <c r="G456" i="1"/>
  <c r="G455" i="1"/>
  <c r="G454" i="1"/>
  <c r="G453" i="1"/>
  <c r="B43" i="2" s="1"/>
  <c r="E43" i="2" s="1"/>
  <c r="F43" i="2" s="1"/>
  <c r="G452" i="1"/>
  <c r="G451" i="1"/>
  <c r="G450" i="1"/>
  <c r="G449" i="1"/>
  <c r="D42" i="2" s="1"/>
  <c r="G448" i="1"/>
  <c r="G447" i="1"/>
  <c r="G446" i="1"/>
  <c r="C42" i="2" s="1"/>
  <c r="G445" i="1"/>
  <c r="G444" i="1"/>
  <c r="G443" i="1"/>
  <c r="G442" i="1"/>
  <c r="B42" i="2" s="1"/>
  <c r="E42" i="2" s="1"/>
  <c r="F42" i="2" s="1"/>
  <c r="G441" i="1"/>
  <c r="G440" i="1"/>
  <c r="G439" i="1"/>
  <c r="G438" i="1"/>
  <c r="D41" i="2" s="1"/>
  <c r="G437" i="1"/>
  <c r="G436" i="1"/>
  <c r="G435" i="1"/>
  <c r="C41" i="2" s="1"/>
  <c r="G434" i="1"/>
  <c r="G433" i="1"/>
  <c r="G432" i="1"/>
  <c r="G431" i="1"/>
  <c r="B41" i="2" s="1"/>
  <c r="E41" i="2" s="1"/>
  <c r="F41" i="2" s="1"/>
  <c r="G430" i="1"/>
  <c r="G429" i="1"/>
  <c r="G428" i="1"/>
  <c r="G427" i="1"/>
  <c r="D40" i="2" s="1"/>
  <c r="G426" i="1"/>
  <c r="G425" i="1"/>
  <c r="G424" i="1"/>
  <c r="C40" i="2" s="1"/>
  <c r="G423" i="1"/>
  <c r="G422" i="1"/>
  <c r="G421" i="1"/>
  <c r="G420" i="1"/>
  <c r="B40" i="2" s="1"/>
  <c r="E40" i="2" s="1"/>
  <c r="F40" i="2" s="1"/>
  <c r="G419" i="1"/>
  <c r="G418" i="1"/>
  <c r="G417" i="1"/>
  <c r="G416" i="1"/>
  <c r="D39" i="2" s="1"/>
  <c r="G415" i="1"/>
  <c r="G414" i="1"/>
  <c r="G413" i="1"/>
  <c r="C39" i="2" s="1"/>
  <c r="G412" i="1"/>
  <c r="G411" i="1"/>
  <c r="G410" i="1"/>
  <c r="G409" i="1"/>
  <c r="B39" i="2" s="1"/>
  <c r="E39" i="2" s="1"/>
  <c r="F39" i="2" s="1"/>
  <c r="G408" i="1"/>
  <c r="G407" i="1"/>
  <c r="G406" i="1"/>
  <c r="G405" i="1"/>
  <c r="D38" i="2" s="1"/>
  <c r="G404" i="1"/>
  <c r="G403" i="1"/>
  <c r="G402" i="1"/>
  <c r="C38" i="2" s="1"/>
  <c r="G401" i="1"/>
  <c r="G400" i="1"/>
  <c r="G399" i="1"/>
  <c r="G398" i="1"/>
  <c r="B38" i="2" s="1"/>
  <c r="E38" i="2" s="1"/>
  <c r="F38" i="2" s="1"/>
  <c r="G397" i="1"/>
  <c r="G396" i="1"/>
  <c r="G395" i="1"/>
  <c r="G394" i="1"/>
  <c r="D37" i="2" s="1"/>
  <c r="G393" i="1"/>
  <c r="G392" i="1"/>
  <c r="G391" i="1"/>
  <c r="C37" i="2" s="1"/>
  <c r="G390" i="1"/>
  <c r="G389" i="1"/>
  <c r="G388" i="1"/>
  <c r="G387" i="1"/>
  <c r="B37" i="2" s="1"/>
  <c r="E37" i="2" s="1"/>
  <c r="F37" i="2" s="1"/>
  <c r="G386" i="1"/>
  <c r="G385" i="1"/>
  <c r="G384" i="1"/>
  <c r="G383" i="1"/>
  <c r="D36" i="2" s="1"/>
  <c r="G382" i="1"/>
  <c r="G381" i="1"/>
  <c r="G380" i="1"/>
  <c r="C36" i="2" s="1"/>
  <c r="G379" i="1"/>
  <c r="G378" i="1"/>
  <c r="G377" i="1"/>
  <c r="G376" i="1"/>
  <c r="B36" i="2" s="1"/>
  <c r="E36" i="2" s="1"/>
  <c r="F36" i="2" s="1"/>
  <c r="G375" i="1"/>
  <c r="G374" i="1"/>
  <c r="G373" i="1"/>
  <c r="G372" i="1"/>
  <c r="D35" i="2" s="1"/>
  <c r="G371" i="1"/>
  <c r="G370" i="1"/>
  <c r="G369" i="1"/>
  <c r="C35" i="2" s="1"/>
  <c r="G368" i="1"/>
  <c r="G367" i="1"/>
  <c r="G366" i="1"/>
  <c r="G365" i="1"/>
  <c r="B35" i="2" s="1"/>
  <c r="E35" i="2" s="1"/>
  <c r="F35" i="2" s="1"/>
  <c r="G364" i="1"/>
  <c r="G363" i="1"/>
  <c r="G362" i="1"/>
  <c r="G361" i="1"/>
  <c r="D34" i="2" s="1"/>
  <c r="G360" i="1"/>
  <c r="G359" i="1"/>
  <c r="G358" i="1"/>
  <c r="C34" i="2" s="1"/>
  <c r="G357" i="1"/>
  <c r="G356" i="1"/>
  <c r="G355" i="1"/>
  <c r="G354" i="1"/>
  <c r="B34" i="2" s="1"/>
  <c r="E34" i="2" s="1"/>
  <c r="F34" i="2" s="1"/>
  <c r="G353" i="1"/>
  <c r="G352" i="1"/>
  <c r="G351" i="1"/>
  <c r="G350" i="1"/>
  <c r="D33" i="2" s="1"/>
  <c r="G349" i="1"/>
  <c r="G348" i="1"/>
  <c r="G347" i="1"/>
  <c r="C33" i="2" s="1"/>
  <c r="G346" i="1"/>
  <c r="G345" i="1"/>
  <c r="G344" i="1"/>
  <c r="G343" i="1"/>
  <c r="B33" i="2" s="1"/>
  <c r="E33" i="2" s="1"/>
  <c r="F33" i="2" s="1"/>
  <c r="G342" i="1"/>
  <c r="G341" i="1"/>
  <c r="G340" i="1"/>
  <c r="G339" i="1"/>
  <c r="D32" i="2" s="1"/>
  <c r="G338" i="1"/>
  <c r="G337" i="1"/>
  <c r="G336" i="1"/>
  <c r="C32" i="2" s="1"/>
  <c r="G335" i="1"/>
  <c r="G334" i="1"/>
  <c r="G333" i="1"/>
  <c r="G332" i="1"/>
  <c r="B32" i="2" s="1"/>
  <c r="E32" i="2" s="1"/>
  <c r="F32" i="2" s="1"/>
  <c r="G331" i="1"/>
  <c r="G330" i="1"/>
  <c r="G329" i="1"/>
  <c r="G328" i="1"/>
  <c r="D31" i="2" s="1"/>
  <c r="G327" i="1"/>
  <c r="G326" i="1"/>
  <c r="G325" i="1"/>
  <c r="C31" i="2" s="1"/>
  <c r="G324" i="1"/>
  <c r="G323" i="1"/>
  <c r="G322" i="1"/>
  <c r="G321" i="1"/>
  <c r="B31" i="2" s="1"/>
  <c r="E31" i="2" s="1"/>
  <c r="F31" i="2" s="1"/>
  <c r="G320" i="1"/>
  <c r="G319" i="1"/>
  <c r="G318" i="1"/>
  <c r="G317" i="1"/>
  <c r="D30" i="2" s="1"/>
  <c r="G316" i="1"/>
  <c r="G315" i="1"/>
  <c r="G314" i="1"/>
  <c r="C30" i="2" s="1"/>
  <c r="G313" i="1"/>
  <c r="G312" i="1"/>
  <c r="G311" i="1"/>
  <c r="G310" i="1"/>
  <c r="B30" i="2" s="1"/>
  <c r="E30" i="2" s="1"/>
  <c r="F30" i="2" s="1"/>
  <c r="G309" i="1"/>
  <c r="G308" i="1"/>
  <c r="G307" i="1"/>
  <c r="G306" i="1"/>
  <c r="D29" i="2" s="1"/>
  <c r="G305" i="1"/>
  <c r="G304" i="1"/>
  <c r="G303" i="1"/>
  <c r="C29" i="2" s="1"/>
  <c r="G302" i="1"/>
  <c r="G301" i="1"/>
  <c r="G300" i="1"/>
  <c r="G299" i="1"/>
  <c r="B29" i="2" s="1"/>
  <c r="E29" i="2" s="1"/>
  <c r="F29" i="2" s="1"/>
  <c r="G298" i="1"/>
  <c r="G297" i="1"/>
  <c r="G296" i="1"/>
  <c r="G295" i="1"/>
  <c r="D28" i="2" s="1"/>
  <c r="G294" i="1"/>
  <c r="G293" i="1"/>
  <c r="G292" i="1"/>
  <c r="C28" i="2" s="1"/>
  <c r="G291" i="1"/>
  <c r="G290" i="1"/>
  <c r="G289" i="1"/>
  <c r="G288" i="1"/>
  <c r="B28" i="2" s="1"/>
  <c r="E28" i="2" s="1"/>
  <c r="F28" i="2" s="1"/>
  <c r="G287" i="1"/>
  <c r="G286" i="1"/>
  <c r="G285" i="1"/>
  <c r="G284" i="1"/>
  <c r="D27" i="2" s="1"/>
  <c r="G283" i="1"/>
  <c r="G282" i="1"/>
  <c r="G281" i="1"/>
  <c r="C27" i="2" s="1"/>
  <c r="G280" i="1"/>
  <c r="G279" i="1"/>
  <c r="G278" i="1"/>
  <c r="G277" i="1"/>
  <c r="B27" i="2" s="1"/>
  <c r="E27" i="2" s="1"/>
  <c r="F27" i="2" s="1"/>
  <c r="G276" i="1"/>
  <c r="G275" i="1"/>
  <c r="G274" i="1"/>
  <c r="G273" i="1"/>
  <c r="D26" i="2" s="1"/>
  <c r="G272" i="1"/>
  <c r="G271" i="1"/>
  <c r="G270" i="1"/>
  <c r="C26" i="2" s="1"/>
  <c r="G269" i="1"/>
  <c r="G268" i="1"/>
  <c r="G267" i="1"/>
  <c r="G266" i="1"/>
  <c r="B26" i="2" s="1"/>
  <c r="E26" i="2" s="1"/>
  <c r="F26" i="2" s="1"/>
  <c r="G265" i="1"/>
  <c r="G264" i="1"/>
  <c r="G263" i="1"/>
  <c r="G262" i="1"/>
  <c r="D25" i="2" s="1"/>
  <c r="G261" i="1"/>
  <c r="G260" i="1"/>
  <c r="G259" i="1"/>
  <c r="C25" i="2" s="1"/>
  <c r="G258" i="1"/>
  <c r="G257" i="1"/>
  <c r="G256" i="1"/>
  <c r="G255" i="1"/>
  <c r="B25" i="2" s="1"/>
  <c r="E25" i="2" s="1"/>
  <c r="F25" i="2" s="1"/>
  <c r="G254" i="1"/>
  <c r="G253" i="1"/>
  <c r="G252" i="1"/>
  <c r="G251" i="1"/>
  <c r="D24" i="2" s="1"/>
  <c r="G250" i="1"/>
  <c r="G249" i="1"/>
  <c r="G248" i="1"/>
  <c r="C24" i="2" s="1"/>
  <c r="G247" i="1"/>
  <c r="G246" i="1"/>
  <c r="G245" i="1"/>
  <c r="G244" i="1"/>
  <c r="B24" i="2" s="1"/>
  <c r="E24" i="2" s="1"/>
  <c r="F24" i="2" s="1"/>
  <c r="G243" i="1"/>
  <c r="G242" i="1"/>
  <c r="G241" i="1"/>
  <c r="G240" i="1"/>
  <c r="D23" i="2" s="1"/>
  <c r="G239" i="1"/>
  <c r="G238" i="1"/>
  <c r="G237" i="1"/>
  <c r="C23" i="2" s="1"/>
  <c r="G236" i="1"/>
  <c r="G235" i="1"/>
  <c r="G234" i="1"/>
  <c r="G233" i="1"/>
  <c r="B23" i="2" s="1"/>
  <c r="E23" i="2" s="1"/>
  <c r="F23" i="2" s="1"/>
  <c r="G232" i="1"/>
  <c r="G231" i="1"/>
  <c r="G230" i="1"/>
  <c r="G229" i="1"/>
  <c r="D22" i="2" s="1"/>
  <c r="G228" i="1"/>
  <c r="G227" i="1"/>
  <c r="G226" i="1"/>
  <c r="C22" i="2" s="1"/>
  <c r="G225" i="1"/>
  <c r="G224" i="1"/>
  <c r="G223" i="1"/>
  <c r="G222" i="1"/>
  <c r="B22" i="2" s="1"/>
  <c r="E22" i="2" s="1"/>
  <c r="F22" i="2" s="1"/>
  <c r="G221" i="1"/>
  <c r="G220" i="1"/>
  <c r="G219" i="1"/>
  <c r="G218" i="1"/>
  <c r="D21" i="2" s="1"/>
  <c r="G217" i="1"/>
  <c r="G216" i="1"/>
  <c r="G215" i="1"/>
  <c r="C21" i="2" s="1"/>
  <c r="G214" i="1"/>
  <c r="G213" i="1"/>
  <c r="G212" i="1"/>
  <c r="G211" i="1"/>
  <c r="B21" i="2" s="1"/>
  <c r="E21" i="2" s="1"/>
  <c r="F21" i="2" s="1"/>
  <c r="G210" i="1"/>
  <c r="G209" i="1"/>
  <c r="G208" i="1"/>
  <c r="G207" i="1"/>
  <c r="D20" i="2" s="1"/>
  <c r="G206" i="1"/>
  <c r="G205" i="1"/>
  <c r="G204" i="1"/>
  <c r="C20" i="2" s="1"/>
  <c r="G203" i="1"/>
  <c r="G202" i="1"/>
  <c r="G201" i="1"/>
  <c r="G200" i="1"/>
  <c r="B20" i="2" s="1"/>
  <c r="E20" i="2" s="1"/>
  <c r="F20" i="2" s="1"/>
  <c r="G199" i="1"/>
  <c r="G198" i="1"/>
  <c r="G197" i="1"/>
  <c r="G196" i="1"/>
  <c r="D19" i="2" s="1"/>
  <c r="G195" i="1"/>
  <c r="G194" i="1"/>
  <c r="G193" i="1"/>
  <c r="C19" i="2" s="1"/>
  <c r="G192" i="1"/>
  <c r="G191" i="1"/>
  <c r="G190" i="1"/>
  <c r="G189" i="1"/>
  <c r="B19" i="2" s="1"/>
  <c r="E19" i="2" s="1"/>
  <c r="F19" i="2" s="1"/>
  <c r="G188" i="1"/>
  <c r="G187" i="1"/>
  <c r="G186" i="1"/>
  <c r="G185" i="1"/>
  <c r="D18" i="2" s="1"/>
  <c r="G184" i="1"/>
  <c r="G183" i="1"/>
  <c r="G182" i="1"/>
  <c r="C18" i="2" s="1"/>
  <c r="G181" i="1"/>
  <c r="G180" i="1"/>
  <c r="G179" i="1"/>
  <c r="G178" i="1"/>
  <c r="B18" i="2" s="1"/>
  <c r="E18" i="2" s="1"/>
  <c r="F18" i="2" s="1"/>
  <c r="G177" i="1"/>
  <c r="G176" i="1"/>
  <c r="G175" i="1"/>
  <c r="G174" i="1"/>
  <c r="D17" i="2" s="1"/>
  <c r="G173" i="1"/>
  <c r="G172" i="1"/>
  <c r="G171" i="1"/>
  <c r="C17" i="2" s="1"/>
  <c r="G170" i="1"/>
  <c r="G169" i="1"/>
  <c r="G168" i="1"/>
  <c r="G167" i="1"/>
  <c r="B17" i="2" s="1"/>
  <c r="E17" i="2" s="1"/>
  <c r="F17" i="2" s="1"/>
  <c r="G166" i="1"/>
  <c r="G165" i="1"/>
  <c r="G164" i="1"/>
  <c r="G163" i="1"/>
  <c r="D16" i="2" s="1"/>
  <c r="G162" i="1"/>
  <c r="G161" i="1"/>
  <c r="G160" i="1"/>
  <c r="C16" i="2" s="1"/>
  <c r="G159" i="1"/>
  <c r="G158" i="1"/>
  <c r="G157" i="1"/>
  <c r="G156" i="1"/>
  <c r="B16" i="2" s="1"/>
  <c r="E16" i="2" s="1"/>
  <c r="F16" i="2" s="1"/>
  <c r="G155" i="1"/>
  <c r="G154" i="1"/>
  <c r="G153" i="1"/>
  <c r="G152" i="1"/>
  <c r="D15" i="2" s="1"/>
  <c r="G151" i="1"/>
  <c r="G150" i="1"/>
  <c r="G149" i="1"/>
  <c r="C15" i="2" s="1"/>
  <c r="G148" i="1"/>
  <c r="G147" i="1"/>
  <c r="G146" i="1"/>
  <c r="G145" i="1"/>
  <c r="B15" i="2" s="1"/>
  <c r="E15" i="2" s="1"/>
  <c r="F15" i="2" s="1"/>
  <c r="G144" i="1"/>
  <c r="G143" i="1"/>
  <c r="G142" i="1"/>
  <c r="G141" i="1"/>
  <c r="D14" i="2" s="1"/>
  <c r="G140" i="1"/>
  <c r="G139" i="1"/>
  <c r="G138" i="1"/>
  <c r="C14" i="2" s="1"/>
  <c r="G137" i="1"/>
  <c r="G136" i="1"/>
  <c r="G135" i="1"/>
  <c r="G134" i="1"/>
  <c r="B14" i="2" s="1"/>
  <c r="E14" i="2" s="1"/>
  <c r="F14" i="2" s="1"/>
  <c r="G133" i="1"/>
  <c r="G132" i="1"/>
  <c r="G131" i="1"/>
  <c r="G130" i="1"/>
  <c r="D13" i="2" s="1"/>
  <c r="G129" i="1"/>
  <c r="G128" i="1"/>
  <c r="G127" i="1"/>
  <c r="C13" i="2" s="1"/>
  <c r="G126" i="1"/>
  <c r="G125" i="1"/>
  <c r="G124" i="1"/>
  <c r="G123" i="1"/>
  <c r="B13" i="2" s="1"/>
  <c r="E13" i="2" s="1"/>
  <c r="F13" i="2" s="1"/>
  <c r="G122" i="1"/>
  <c r="G121" i="1"/>
  <c r="G120" i="1"/>
  <c r="G119" i="1"/>
  <c r="D12" i="2" s="1"/>
  <c r="G118" i="1"/>
  <c r="G117" i="1"/>
  <c r="G116" i="1"/>
  <c r="C12" i="2" s="1"/>
  <c r="G115" i="1"/>
  <c r="G114" i="1"/>
  <c r="G113" i="1"/>
  <c r="G112" i="1"/>
  <c r="B12" i="2" s="1"/>
  <c r="E12" i="2" s="1"/>
  <c r="F12" i="2" s="1"/>
  <c r="G111" i="1"/>
  <c r="G110" i="1"/>
  <c r="G109" i="1"/>
  <c r="G108" i="1"/>
  <c r="D11" i="2" s="1"/>
  <c r="G107" i="1"/>
  <c r="G106" i="1"/>
  <c r="G105" i="1"/>
  <c r="C11" i="2" s="1"/>
  <c r="G104" i="1"/>
  <c r="G103" i="1"/>
  <c r="G102" i="1"/>
  <c r="G101" i="1"/>
  <c r="B11" i="2" s="1"/>
  <c r="E11" i="2" s="1"/>
  <c r="F11" i="2" s="1"/>
  <c r="G100" i="1"/>
  <c r="G99" i="1"/>
  <c r="G98" i="1"/>
  <c r="G97" i="1"/>
  <c r="D10" i="2" s="1"/>
  <c r="G96" i="1"/>
  <c r="G95" i="1"/>
  <c r="G94" i="1"/>
  <c r="C10" i="2" s="1"/>
  <c r="G93" i="1"/>
  <c r="G92" i="1"/>
  <c r="G91" i="1"/>
  <c r="G90" i="1"/>
  <c r="B10" i="2" s="1"/>
  <c r="E10" i="2" s="1"/>
  <c r="F10" i="2" s="1"/>
  <c r="G89" i="1"/>
  <c r="G88" i="1"/>
  <c r="G87" i="1"/>
  <c r="G86" i="1"/>
  <c r="D9" i="2" s="1"/>
  <c r="G85" i="1"/>
  <c r="G84" i="1"/>
  <c r="G83" i="1"/>
  <c r="C9" i="2" s="1"/>
  <c r="G82" i="1"/>
  <c r="G81" i="1"/>
  <c r="G80" i="1"/>
  <c r="G79" i="1"/>
  <c r="B9" i="2" s="1"/>
  <c r="E9" i="2" s="1"/>
  <c r="F9" i="2" s="1"/>
  <c r="G78" i="1"/>
  <c r="G77" i="1"/>
  <c r="G76" i="1"/>
  <c r="G75" i="1"/>
  <c r="D8" i="2" s="1"/>
  <c r="G74" i="1"/>
  <c r="G73" i="1"/>
  <c r="G72" i="1"/>
  <c r="C8" i="2" s="1"/>
  <c r="G71" i="1"/>
  <c r="G70" i="1"/>
  <c r="G69" i="1"/>
  <c r="G68" i="1"/>
  <c r="B8" i="2" s="1"/>
  <c r="E8" i="2" s="1"/>
  <c r="F8" i="2" s="1"/>
  <c r="G67" i="1"/>
  <c r="G66" i="1"/>
  <c r="G65" i="1"/>
  <c r="G64" i="1"/>
  <c r="D7" i="2" s="1"/>
  <c r="G63" i="1"/>
  <c r="G62" i="1"/>
  <c r="G61" i="1"/>
  <c r="C7" i="2" s="1"/>
  <c r="G60" i="1"/>
  <c r="G59" i="1"/>
  <c r="G58" i="1"/>
  <c r="G57" i="1"/>
  <c r="B7" i="2" s="1"/>
  <c r="E7" i="2" s="1"/>
  <c r="F7" i="2" s="1"/>
  <c r="G56" i="1"/>
  <c r="G55" i="1"/>
  <c r="G54" i="1"/>
  <c r="G53" i="1"/>
  <c r="D6" i="2" s="1"/>
  <c r="G52" i="1"/>
  <c r="G51" i="1"/>
  <c r="G50" i="1"/>
  <c r="C6" i="2" s="1"/>
  <c r="G49" i="1"/>
  <c r="G48" i="1"/>
  <c r="G47" i="1"/>
  <c r="G46" i="1"/>
  <c r="B6" i="2" s="1"/>
  <c r="E6" i="2" s="1"/>
  <c r="F6" i="2" s="1"/>
  <c r="G45" i="1"/>
  <c r="G44" i="1"/>
  <c r="G43" i="1"/>
  <c r="G42" i="1"/>
  <c r="D5" i="2" s="1"/>
  <c r="G41" i="1"/>
  <c r="G40" i="1"/>
  <c r="G39" i="1"/>
  <c r="C5" i="2" s="1"/>
  <c r="G38" i="1"/>
  <c r="G37" i="1"/>
  <c r="G36" i="1"/>
  <c r="G35" i="1"/>
  <c r="B5" i="2" s="1"/>
  <c r="E5" i="2" s="1"/>
  <c r="F5" i="2" s="1"/>
  <c r="G34" i="1"/>
  <c r="G33" i="1"/>
  <c r="G32" i="1"/>
  <c r="G31" i="1"/>
  <c r="D4" i="2" s="1"/>
  <c r="G30" i="1"/>
  <c r="G29" i="1"/>
  <c r="G28" i="1"/>
  <c r="C4" i="2" s="1"/>
  <c r="G27" i="1"/>
  <c r="G26" i="1"/>
  <c r="G25" i="1"/>
  <c r="G24" i="1"/>
  <c r="B4" i="2" s="1"/>
  <c r="E4" i="2" s="1"/>
  <c r="F4" i="2" s="1"/>
  <c r="G23" i="1"/>
  <c r="G22" i="1"/>
  <c r="G21" i="1"/>
  <c r="G20" i="1"/>
  <c r="D3" i="2" s="1"/>
  <c r="G19" i="1"/>
  <c r="G18" i="1"/>
  <c r="G17" i="1"/>
  <c r="C3" i="2" s="1"/>
  <c r="G16" i="1"/>
  <c r="G15" i="1"/>
  <c r="G14" i="1"/>
  <c r="G13" i="1"/>
  <c r="B3" i="2" s="1"/>
  <c r="E3" i="2" s="1"/>
  <c r="F3" i="2" s="1"/>
  <c r="G12" i="1"/>
  <c r="G11" i="1"/>
  <c r="G10" i="1"/>
  <c r="G9" i="1"/>
  <c r="D2" i="2" s="1"/>
  <c r="G8" i="1"/>
  <c r="G7" i="1"/>
  <c r="G6" i="1"/>
  <c r="C2" i="2" s="1"/>
  <c r="G5" i="1"/>
  <c r="G4" i="1"/>
  <c r="G3" i="1"/>
  <c r="G2" i="1"/>
  <c r="B2" i="2" s="1"/>
  <c r="E2" i="2" s="1"/>
  <c r="F2" i="2" s="1"/>
</calcChain>
</file>

<file path=xl/sharedStrings.xml><?xml version="1.0" encoding="utf-8"?>
<sst xmlns="http://schemas.openxmlformats.org/spreadsheetml/2006/main" count="6848" uniqueCount="249">
  <si>
    <t>Student ID</t>
  </si>
  <si>
    <t>Assessment Type</t>
  </si>
  <si>
    <t>Score (1-100)</t>
  </si>
  <si>
    <t>Feedback Comment</t>
  </si>
  <si>
    <t>SILO's</t>
  </si>
  <si>
    <t>Weight</t>
  </si>
  <si>
    <t>Weighted Score</t>
  </si>
  <si>
    <t>STU0001</t>
  </si>
  <si>
    <t>CSE1OOF - Test</t>
  </si>
  <si>
    <t>This developing result meets the core requirements but needs greater consistency of the relevant learning themes, particularly analysis/design/implementation compared with object-oriented modelling using objects that combine data structure and behaviour and abstract data types and encapsulation to localise and minimise change. Future work should focus on consolidating the underlying concepts, applying them more consistently and explaining design or implementation decisions with stronger evidence.</t>
  </si>
  <si>
    <t>SILO1: analysis/design/implementation compared with object-oriented modelling using objects that combine data structure and behaviour; SILO2: abstract data types and encapsulation to localise and minimise change</t>
  </si>
  <si>
    <t>CSE1OOF - Practical demonstration</t>
  </si>
  <si>
    <t>This limited result shows gaps that require targeted revision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student should revisit the core concepts, seek feedback early and practise applying the techniques in smaller, well-tested examples before attempting the full assessment task.</t>
  </si>
  <si>
    <t>SILO2: abstract data types and encapsulation to localise and minimise change; SILO3: code sharing and reuse through object-oriented techniques to reduce development time; SILO4: object-oriented design and implementation of computer programs for real-life problems</t>
  </si>
  <si>
    <t>CSE1OOF - Assignment</t>
  </si>
  <si>
    <t>This developing result meets the core requirements but needs greater consistency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Future work should focus on consolidating the underlying concepts, applying them more consistently and explaining design or implementation decisions with stronger evidence.</t>
  </si>
  <si>
    <t>CSE1OOF - Central examination</t>
  </si>
  <si>
    <t>This developing result meets the core requirements but needs greater consistency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Future work should focus on consolidating the underlying concepts, applying them more consistently and explaining design or implementation decisions with stronger evidence.</t>
  </si>
  <si>
    <t>SILO2: abstract data types and encapsulation to localise and minimise change; SILO4: object-oriented design and implementation of computer programs for real-life problems; SILO3: code sharing and reuse through object-oriented techniques to reduce development time; SILO1: analysis/design/implementation compared with object-oriented modelling using objects that combine data structure and behaviour</t>
  </si>
  <si>
    <t>CSE2ALG - Test</t>
  </si>
  <si>
    <t>This developing result meets the core requirements but needs greater consistency of the relevant learning themes, particularly overall objectives of Algorithms and Data Structures, identifying data structures and searching and sorting algorithms in computing contexts, and implementing data structures and searching and sorting algorithms in Java. Future work should focus on consolidating the underlying concepts, applying them more consistently and explaining design or implementation decisions with stronger evidence.</t>
  </si>
  <si>
    <t>SILO1: overall objectives of Algorithms and Data Structures; SILO2: identifying data structures and searching and sorting algorithms in computing contexts; SILO3: implementing data structures and searching and sorting algorithms in Java</t>
  </si>
  <si>
    <t>CSE2ALG - Assignment</t>
  </si>
  <si>
    <t>This developing result meets the core requirements but needs greater consistency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Future work should focus on consolidating the underlying concepts, applying them more consistently and explaining design or implementation decisions with stronger evidence.</t>
  </si>
  <si>
    <t>SILO2: identifying data structures and searching and sorting algorithms in computing contexts; SILO3: implementing data structures and searching and sorting algorithms in Java; SILO4: comparing algorithms and data structures and applying suitable choices to problems; SILO5: designing, implementing, and evaluating Java solutions using appropriate performance measures</t>
  </si>
  <si>
    <t>CSE2ALG - Central examination</t>
  </si>
  <si>
    <t>This limited result shows gaps that require targeted revision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The student should revisit the core concepts, seek feedback early and practise applying the techniques in smaller, well-tested examples before attempting the full assessment task.</t>
  </si>
  <si>
    <t>SILO1: overall objectives of Algorithms and Data Structures; SILO2: identifying data structures and searching and sorting algorithms in computing contexts; SILO3: implementing data structures and searching and sorting algorithms in Java; SILO5: designing, implementing, and evaluating Java solutions using appropriate performance measures</t>
  </si>
  <si>
    <t>CSE3CAP - Oral presentation: Project Milestone Presentation</t>
  </si>
  <si>
    <t>This developing result meets the core requirements but needs greater consistency of the relevant learning themes, particularly reporting project outcomes to technical and non-technical audiences and reflecting on feedback. Future work should focus on consolidating the underlying concepts, applying them more consistently and explaining design or implementation decisions with stronger evidence.</t>
  </si>
  <si>
    <t>SILO3: reporting project outcomes to technical and non-technical audiences and reflecting on feedback</t>
  </si>
  <si>
    <t>CSE3CAP - Oral presentation: Final Project Presentation</t>
  </si>
  <si>
    <t>This limited result shows gaps that require targeted revision of the relevant learning themes, particularly reporting project outcomes to technical and non-technical audiences and reflecting on feedback. The student should revisit the core concepts, seek feedback early and practise applying the techniques in smaller, well-tested examples before attempting the full assessment task.</t>
  </si>
  <si>
    <t>CSE3CAP - Assignment: Final written Project Report</t>
  </si>
  <si>
    <t>This developing result meets the core requirements but needs greater consistency of the relevant learning themes, particularly industry standard technical solutions in software or cybersecurity practice and professional system documentation and advanced technical reporting to industry standards. Future work should focus on consolidating the underlying concepts, applying them more consistently and explaining design or implementation decisions with stronger evidence.</t>
  </si>
  <si>
    <t>SILO2: industry standard technical solutions in software or cybersecurity practice; SILO4: professional system documentation and advanced technical reporting to industry standards</t>
  </si>
  <si>
    <t>CSE3CAP - Assignment: Sprint Project management reports</t>
  </si>
  <si>
    <t>This limited result shows gaps that require targeted revision of the relevant learning themes, particularly advanced project management during substantive development implementation and industry standard technical solutions in software or cybersecurity practice. The student should revisit the core concepts, seek feedback early and practise applying the techniques in smaller, well-tested examples before attempting the full assessment task.</t>
  </si>
  <si>
    <t>SILO1: advanced project management during substantive development implementation; SILO2: industry standard technical solutions in software or cybersecurity practice</t>
  </si>
  <si>
    <t>STU0002</t>
  </si>
  <si>
    <t>This sound result shows a competent and generally reliable grasp of the relevant learning themes, particularly analysis/design/implementation compared with object-oriented modelling using objects that combine data structure and behaviour and abstract data types and encapsulation to localise and minimise change. To strengthen the result, the student should provide clearer reasoning, improve technical precision and show more complete testing or reflection.</t>
  </si>
  <si>
    <t>This sound result shows a competent and generally reliable grasp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To strengthen the result, the student should provide clearer reasoning, improve technical precision and show more complete testing or reflection.</t>
  </si>
  <si>
    <t>This sound result shows a competent and generally reliable grasp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To strengthen the result, the student should provide clearer reasoning, improve technical precision and show more complete testing or reflection.</t>
  </si>
  <si>
    <t>This sound result shows a competent and generally reliable grasp of the relevant learning themes, particularly overall objectives of Algorithms and Data Structures, identifying data structures and searching and sorting algorithms in computing contexts, and implementing data structures and searching and sorting algorithms in Java. To strengthen the result, the student should provide clearer reasoning, improve technical precision and show more complete testing or reflection.</t>
  </si>
  <si>
    <t>This sound result shows a competent and generally reliable grasp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To strengthen the result, the student should provide clearer reasoning, improve technical precision and show more complete testing or reflection.</t>
  </si>
  <si>
    <t>This sound result shows a competent and generally reliable grasp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To strengthen the result, the student should provide clearer reasoning, improve technical precision and show more complete testing or reflection.</t>
  </si>
  <si>
    <t>This sound result shows a competent and generally reliable grasp of the relevant learning themes, particularly reporting project outcomes to technical and non-technical audiences and reflecting on feedback. To strengthen the result, the student should provide clearer reasoning, improve technical precision and show more complete testing or reflection.</t>
  </si>
  <si>
    <t>This sound result shows a competent and generally reliable grasp of the relevant learning themes, particularly industry standard technical solutions in software or cybersecurity practice and professional system documentation and advanced technical reporting to industry standards. To strengthen the result, the student should provide clearer reasoning, improve technical precision and show more complete testing or reflection.</t>
  </si>
  <si>
    <t>This developing result meets the core requirements but needs greater consistency of the relevant learning themes, particularly advanced project management during substantive development implementation and industry standard technical solutions in software or cybersecurity practice. Future work should focus on consolidating the underlying concepts, applying them more consistently and explaining design or implementation decisions with stronger evidence.</t>
  </si>
  <si>
    <t>STU0003</t>
  </si>
  <si>
    <t>This developing result meets the core requirements but needs greater consistency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Future work should focus on consolidating the underlying concepts, applying them more consistently and explaining design or implementation decisions with stronger evidence.</t>
  </si>
  <si>
    <t>This sound result shows a competent and generally reliable grasp of the relevant learning themes, particularly advanced project management during substantive development implementation and industry standard technical solutions in software or cybersecurity practice. To strengthen the result, the student should provide clearer reasoning, improve technical precision and show more complete testing or reflection.</t>
  </si>
  <si>
    <t>STU0004</t>
  </si>
  <si>
    <t>This limited result shows gaps that require targeted revision of the relevant learning themes, particularly overall objectives of Algorithms and Data Structures, identifying data structures and searching and sorting algorithms in computing contexts, and implementing data structures and searching and sorting algorithms in Java. The student should revisit the core concepts, seek feedback early and practise applying the techniques in smaller, well-tested examples before attempting the full assessment task.</t>
  </si>
  <si>
    <t>This limited result shows gaps that require targeted revision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The student should revisit the core concepts, seek feedback early and practise applying the techniques in smaller, well-tested examples before attempting the full assessment task.</t>
  </si>
  <si>
    <t>STU0005</t>
  </si>
  <si>
    <t>This strong result shows well-developed understanding of the relevant learning themes, particularly analysis/design/implementation compared with object-oriented modelling using objects that combine data structure and behaviour and abstract data types and encapsulation to localise and minimise change. Further improvement would come from deeper justification, more consistent evaluation evidence and tighter links between decisions and implementation details.</t>
  </si>
  <si>
    <t>This strong result shows well-developed understanding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Further improvement would come from deeper justification, more consistent evaluation evidence and tighter links between decisions and implementation details.</t>
  </si>
  <si>
    <t>This strong result shows well-developed understanding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Further improvement would come from deeper justification, more consistent evaluation evidence and tighter links between decisions and implementation details.</t>
  </si>
  <si>
    <t>This strong result shows well-developed understanding of the relevant learning themes, particularly advanced project management during substantive development implementation and industry standard technical solutions in software or cybersecurity practice. Further improvement would come from deeper justification, more consistent evaluation evidence and tighter links between decisions and implementation details.</t>
  </si>
  <si>
    <t>STU0006</t>
  </si>
  <si>
    <t>This strong result shows well-developed understanding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Further improvement would come from deeper justification, more consistent evaluation evidence and tighter links between decisions and implementation details.</t>
  </si>
  <si>
    <t>This strong result shows well-developed understanding of the relevant learning themes, particularly reporting project outcomes to technical and non-technical audiences and reflecting on feedback. Further improvement would come from deeper justification, more consistent evaluation evidence and tighter links between decisions and implementation details.</t>
  </si>
  <si>
    <t>This strong result shows well-developed understanding of the relevant learning themes, particularly industry standard technical solutions in software or cybersecurity practice and professional system documentation and advanced technical reporting to industry standards. Further improvement would come from deeper justification, more consistent evaluation evidence and tighter links between decisions and implementation details.</t>
  </si>
  <si>
    <t>STU0007</t>
  </si>
  <si>
    <t>STU0008</t>
  </si>
  <si>
    <t>This strong result shows well-developed understanding of the relevant learning themes, particularly overall objectives of Algorithms and Data Structures, identifying data structures and searching and sorting algorithms in computing contexts, and implementing data structures and searching and sorting algorithms in Java. Further improvement would come from deeper justification, more consistent evaluation evidence and tighter links between decisions and implementation details.</t>
  </si>
  <si>
    <t>This strong result shows well-developed understanding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Further improvement would come from deeper justification, more consistent evaluation evidence and tighter links between decisions and implementation details.</t>
  </si>
  <si>
    <t>STU0009</t>
  </si>
  <si>
    <t>STU0010</t>
  </si>
  <si>
    <t>STU0011</t>
  </si>
  <si>
    <t>STU0012</t>
  </si>
  <si>
    <t>STU0013</t>
  </si>
  <si>
    <t>STU0014</t>
  </si>
  <si>
    <t>This excellent result demonstrates confident and independent command of the relevant learning themes, particularly analysis/design/implementation compared with object-oriented modelling using objects that combine data structure and behaviour and abstract data types and encapsulation to localise and minimise change. The work is clear, accurate and well justified, with only minor opportunities to further polish explanation or evaluation.</t>
  </si>
  <si>
    <t>This excellent result demonstrates confident and independent command of the relevant learning themes, particularly abstract data types and encapsulation to localise and minimise change, code sharing and reuse through object-oriented techniques to reduce development time, and object-oriented design and implementation of computer programs for real-life problems. The work is clear, accurate and well justified, with only minor opportunities to further polish explanation or evaluation.</t>
  </si>
  <si>
    <t>This excellent result demonstrates confident and independent command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The work is clear, accurate and well justified, with only minor opportunities to further polish explanation or evaluation.</t>
  </si>
  <si>
    <t>STU0015</t>
  </si>
  <si>
    <t>STU0016</t>
  </si>
  <si>
    <t>STU0017</t>
  </si>
  <si>
    <t>STU0018</t>
  </si>
  <si>
    <t>STU0019</t>
  </si>
  <si>
    <t>STU0020</t>
  </si>
  <si>
    <t>STU0021</t>
  </si>
  <si>
    <t>STU0022</t>
  </si>
  <si>
    <t>STU0023</t>
  </si>
  <si>
    <t>STU0024</t>
  </si>
  <si>
    <t>STU0025</t>
  </si>
  <si>
    <t>This excellent result demonstrates confident and independent command of the relevant learning themes, particularly overall objectives of Algorithms and Data Structures, identifying data structures and searching and sorting algorithms in computing contexts, and implementing data structures and searching and sorting algorithms in Java. The work is clear, accurate and well justified, with only minor opportunities to further polish explanation or evaluation.</t>
  </si>
  <si>
    <t>This excellent result demonstrates confident and independent command of the relevant learning themes, particularly overall objectives of Algorithms and Data Structures, identifying data structures and searching and sorting algorithms in computing contexts, implementing data structures and searching and sorting algorithms in Java, and designing, implementing, and evaluating Java solutions using appropriate performance measures. The work is clear, accurate and well justified, with only minor opportunities to further polish explanation or evaluation.</t>
  </si>
  <si>
    <t>This excellent result demonstrates confident and independent command of the relevant learning themes, particularly reporting project outcomes to technical and non-technical audiences and reflecting on feedback. The work is clear, accurate and well justified, with only minor opportunities to further polish explanation or evaluation.</t>
  </si>
  <si>
    <t>STU0026</t>
  </si>
  <si>
    <t>STU0027</t>
  </si>
  <si>
    <t>STU0028</t>
  </si>
  <si>
    <t>STU0029</t>
  </si>
  <si>
    <t>STU0030</t>
  </si>
  <si>
    <t>STU0031</t>
  </si>
  <si>
    <t>This excellent result demonstrates confident and independent command of the relevant learning themes, particularly identifying data structures and searching and sorting algorithms in computing contexts, implementing data structures and searching and sorting algorithms in Java, comparing algorithms and data structures and applying suitable choices to problems, and designing, implementing, and evaluating Java solutions using appropriate performance measures. The work is clear, accurate and well justified, with only minor opportunities to further polish explanation or evaluation.</t>
  </si>
  <si>
    <t>This excellent result demonstrates confident and independent command of the relevant learning themes, particularly industry standard technical solutions in software or cybersecurity practice and professional system documentation and advanced technical reporting to industry standards. The work is clear, accurate and well justified, with only minor opportunities to further polish explanation or evaluation.</t>
  </si>
  <si>
    <t>STU0032</t>
  </si>
  <si>
    <t>STU0033</t>
  </si>
  <si>
    <t>STU0034</t>
  </si>
  <si>
    <t>STU0035</t>
  </si>
  <si>
    <t>STU0036</t>
  </si>
  <si>
    <t>STU0037</t>
  </si>
  <si>
    <t>STU0038</t>
  </si>
  <si>
    <t>STU0039</t>
  </si>
  <si>
    <t>STU0040</t>
  </si>
  <si>
    <t>STU0041</t>
  </si>
  <si>
    <t>STU0042</t>
  </si>
  <si>
    <t>STU0043</t>
  </si>
  <si>
    <t>This excellent result demonstrates confident and independent command of the relevant learning themes, particularly advanced project management during substantive development implementation and industry standard technical solutions in software or cybersecurity practice. The work is clear, accurate and well justified, with only minor opportunities to further polish explanation or evaluation.</t>
  </si>
  <si>
    <t>STU0044</t>
  </si>
  <si>
    <t>STU0045</t>
  </si>
  <si>
    <t>STU0046</t>
  </si>
  <si>
    <t>STU0047</t>
  </si>
  <si>
    <t>STU0048</t>
  </si>
  <si>
    <t>STU0049</t>
  </si>
  <si>
    <t>This limited result shows gaps that require targeted revision of the relevant learning themes, particularly industry standard technical solutions in software or cybersecurity practice and professional system documentation and advanced technical reporting to industry standards. The student should revisit the core concepts, seek feedback early and practise applying the techniques in smaller, well-tested examples before attempting the full assessment task.</t>
  </si>
  <si>
    <t>STU0050</t>
  </si>
  <si>
    <t>STU0051</t>
  </si>
  <si>
    <t>STU0052</t>
  </si>
  <si>
    <t>STU0053</t>
  </si>
  <si>
    <t>STU0054</t>
  </si>
  <si>
    <t>This limited result shows gaps that require targeted revision of the relevant learning themes, particularly abstract data types and encapsulation to localise and minimise change, object-oriented design and implementation of computer programs for real-life problems, code sharing and reuse through object-oriented techniques to reduce development time, and analysis/design/implementation compared with object-oriented modelling using objects that combine data structure and behaviour. The student should revisit the core concepts, seek feedback early and practise applying the techniques in smaller, well-tested examples before attempting the full assessment task.</t>
  </si>
  <si>
    <t>STU0055</t>
  </si>
  <si>
    <t>STU0056</t>
  </si>
  <si>
    <t>STU0057</t>
  </si>
  <si>
    <t>STU0058</t>
  </si>
  <si>
    <t>STU0059</t>
  </si>
  <si>
    <t>STU0060</t>
  </si>
  <si>
    <t>STU0061</t>
  </si>
  <si>
    <t>This limited result shows gaps that require targeted revision of the relevant learning themes, particularly analysis/design/implementation compared with object-oriented modelling using objects that combine data structure and behaviour and abstract data types and encapsulation to localise and minimise change. The student should revisit the core concepts, seek feedback early and practise applying the techniques in smaller, well-tested examples before attempting the full assessment task.</t>
  </si>
  <si>
    <t>STU0062</t>
  </si>
  <si>
    <t>STU0063</t>
  </si>
  <si>
    <t>STU0064</t>
  </si>
  <si>
    <t>STU0065</t>
  </si>
  <si>
    <t>STU0066</t>
  </si>
  <si>
    <t>STU0067</t>
  </si>
  <si>
    <t>STU0068</t>
  </si>
  <si>
    <t>STU0069</t>
  </si>
  <si>
    <t>STU0070</t>
  </si>
  <si>
    <t>STU0071</t>
  </si>
  <si>
    <t>STU0072</t>
  </si>
  <si>
    <t>STU0073</t>
  </si>
  <si>
    <t>STU0074</t>
  </si>
  <si>
    <t>STU0075</t>
  </si>
  <si>
    <t>STU0076</t>
  </si>
  <si>
    <t>STU0077</t>
  </si>
  <si>
    <t>STU0078</t>
  </si>
  <si>
    <t>STU0079</t>
  </si>
  <si>
    <t>STU0080</t>
  </si>
  <si>
    <t>STU0081</t>
  </si>
  <si>
    <t>STU0082</t>
  </si>
  <si>
    <t>STU0083</t>
  </si>
  <si>
    <t>STU0084</t>
  </si>
  <si>
    <t>STU0085</t>
  </si>
  <si>
    <t>STU0086</t>
  </si>
  <si>
    <t>STU0087</t>
  </si>
  <si>
    <t>STU0088</t>
  </si>
  <si>
    <t>STU0089</t>
  </si>
  <si>
    <t>STU0090</t>
  </si>
  <si>
    <t>STU0091</t>
  </si>
  <si>
    <t>STU0092</t>
  </si>
  <si>
    <t>STU0093</t>
  </si>
  <si>
    <t>STU0094</t>
  </si>
  <si>
    <t>STU0095</t>
  </si>
  <si>
    <t>STU0096</t>
  </si>
  <si>
    <t>STU0097</t>
  </si>
  <si>
    <t>STU0098</t>
  </si>
  <si>
    <t>STU0099</t>
  </si>
  <si>
    <t>STU0100</t>
  </si>
  <si>
    <t>STU0101</t>
  </si>
  <si>
    <t>STU0102</t>
  </si>
  <si>
    <t>STU0103</t>
  </si>
  <si>
    <t>STU0104</t>
  </si>
  <si>
    <t>STU0105</t>
  </si>
  <si>
    <t>STU0106</t>
  </si>
  <si>
    <t>STU0107</t>
  </si>
  <si>
    <t>STU0108</t>
  </si>
  <si>
    <t>STU0109</t>
  </si>
  <si>
    <t>STU0110</t>
  </si>
  <si>
    <t>STU0111</t>
  </si>
  <si>
    <t>STU0112</t>
  </si>
  <si>
    <t>STU0113</t>
  </si>
  <si>
    <t>STU0114</t>
  </si>
  <si>
    <t>STU0115</t>
  </si>
  <si>
    <t>STU0116</t>
  </si>
  <si>
    <t>STU0117</t>
  </si>
  <si>
    <t>STU0118</t>
  </si>
  <si>
    <t>STU0119</t>
  </si>
  <si>
    <t>STU0120</t>
  </si>
  <si>
    <t>STU0121</t>
  </si>
  <si>
    <t>STU0122</t>
  </si>
  <si>
    <t>STU0123</t>
  </si>
  <si>
    <t>STU0124</t>
  </si>
  <si>
    <t>STU0125</t>
  </si>
  <si>
    <t>STU0126</t>
  </si>
  <si>
    <t>STU0127</t>
  </si>
  <si>
    <t>STU0128</t>
  </si>
  <si>
    <t>STU0129</t>
  </si>
  <si>
    <t>STU0130</t>
  </si>
  <si>
    <t>STU0131</t>
  </si>
  <si>
    <t>STU0132</t>
  </si>
  <si>
    <t>STU0133</t>
  </si>
  <si>
    <t>STU0134</t>
  </si>
  <si>
    <t>STU0135</t>
  </si>
  <si>
    <t>STU0136</t>
  </si>
  <si>
    <t>STU0137</t>
  </si>
  <si>
    <t>STU0138</t>
  </si>
  <si>
    <t>STU0139</t>
  </si>
  <si>
    <t>STU0140</t>
  </si>
  <si>
    <t>STU0141</t>
  </si>
  <si>
    <t>STU0142</t>
  </si>
  <si>
    <t>STU0143</t>
  </si>
  <si>
    <t>STU0144</t>
  </si>
  <si>
    <t>STU0145</t>
  </si>
  <si>
    <t>STU0146</t>
  </si>
  <si>
    <t>STU0147</t>
  </si>
  <si>
    <t>STU0148</t>
  </si>
  <si>
    <t>STU0149</t>
  </si>
  <si>
    <t>STU0150</t>
  </si>
  <si>
    <t>CSE1OOF Total</t>
  </si>
  <si>
    <t>CSE2ALG Total</t>
  </si>
  <si>
    <t>CSE3CAP Total</t>
  </si>
  <si>
    <t>Average Total</t>
  </si>
  <si>
    <t>Performance Band</t>
  </si>
  <si>
    <t>Subject Code</t>
  </si>
  <si>
    <t>Contribution</t>
  </si>
  <si>
    <t>Early Assessment</t>
  </si>
  <si>
    <t>Hurdle</t>
  </si>
  <si>
    <t>SILOs</t>
  </si>
  <si>
    <t>SILO Theme Summary</t>
  </si>
  <si>
    <t>CSE1OOF</t>
  </si>
  <si>
    <t>Individual</t>
  </si>
  <si>
    <t>Yes</t>
  </si>
  <si>
    <t>No</t>
  </si>
  <si>
    <t>SILO1, SILO2</t>
  </si>
  <si>
    <t>SILO2, SILO3, SILO4</t>
  </si>
  <si>
    <t>SILO2, SILO4, SILO3, SILO1</t>
  </si>
  <si>
    <t>CSE2ALG</t>
  </si>
  <si>
    <t>SILO1, SILO2, SILO3</t>
  </si>
  <si>
    <t>SILO2, SILO3, SILO4, SILO5</t>
  </si>
  <si>
    <t>SILO1, SILO2, SILO3, SILO5</t>
  </si>
  <si>
    <t>CSE3CAP</t>
  </si>
  <si>
    <t>Group</t>
  </si>
  <si>
    <t>SILO3</t>
  </si>
  <si>
    <t>Combined</t>
  </si>
  <si>
    <t>SILO2, SILO4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</si>
</sst>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sz val="10"/>
      <name val="Aptos"/>
    </font>
    <font>
      <b/>
      <sz val="10"/>
      <color rgb="FF123456"/>
      <name val="Aptos"/>
    </font>
  </fonts>
  <fills count="3">
    <fill>
      <patternFill patternType="none"/>
    </fill>
    <fill>
      <patternFill patternType="gray125"/>
    </fill>
    <fill>
      <patternFill patternType="solid">
        <fgColor rgb="FFD9EAF7"/>
      </patternFill>
    </fill>
  </fills>
  <borders count="10">
    <border>
      <left/>
      <right/>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s>
  <cellStyleXfs count="1">
    <xf numFmtId="0" fontId="0" fillId="0" borderId="0"/>
  </cellStyleXfs>
  <cellXfs count="28">
    <xf numFmtId="0" fontId="0" fillId="0" borderId="0" xfId="0"/>
    <xf numFmtId="0" fontId="1" fillId="0" borderId="0" xfId="0" applyFont="1"/>
    <xf numFmtId="0" fontId="2" fillId="2" borderId="0" xfId="0" applyFont="1" applyFill="1" applyAlignment="1">
      <alignment vertical="center" wrapText="1"/>
    </xf>
    <xf numFmtId="0" fontId="1" fillId="0" borderId="0" xfId="0" applyFont="1" applyAlignment="1">
      <alignment wrapText="1"/>
    </xf>
    <xf numFmtId="2" fontId="2" fillId="2" borderId="0" xfId="0" applyNumberFormat="1" applyFont="1" applyFill="1" applyAlignment="1">
      <alignment vertical="center" wrapText="1"/>
    </xf>
    <xf numFmtId="1" fontId="2" fillId="2" borderId="0" xfId="0" applyNumberFormat="1" applyFont="1" applyFill="1" applyAlignment="1">
      <alignment vertical="center" wrapText="1"/>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9" xfId="0" applyFont="1" applyBorder="1"/>
    <xf numFmtId="0" fontId="1" fillId="0" borderId="1" xfId="0" applyFont="1" applyBorder="1" applyAlignment="1">
      <alignment vertical="top"/>
    </xf>
    <xf numFmtId="0" fontId="1" fillId="0" borderId="2" xfId="0" applyFont="1" applyBorder="1" applyAlignment="1">
      <alignment vertical="top"/>
    </xf>
    <xf numFmtId="0" fontId="1" fillId="0" borderId="2" xfId="0" applyFont="1" applyBorder="1" applyAlignment="1">
      <alignment vertical="top" wrapText="1"/>
    </xf>
    <xf numFmtId="0" fontId="1" fillId="0" borderId="3" xfId="0" applyFont="1" applyBorder="1" applyAlignment="1">
      <alignment vertical="top"/>
    </xf>
    <xf numFmtId="0" fontId="1" fillId="0" borderId="4" xfId="0" applyFont="1" applyBorder="1" applyAlignment="1">
      <alignment vertical="top"/>
    </xf>
    <xf numFmtId="0" fontId="1" fillId="0" borderId="5" xfId="0" applyFont="1" applyBorder="1" applyAlignment="1">
      <alignment vertical="top"/>
    </xf>
    <xf numFmtId="0" fontId="1" fillId="0" borderId="5" xfId="0" applyFont="1" applyBorder="1" applyAlignment="1">
      <alignment vertical="top" wrapText="1"/>
    </xf>
    <xf numFmtId="0" fontId="1" fillId="0" borderId="6" xfId="0" applyFont="1" applyBorder="1" applyAlignment="1">
      <alignment vertical="top"/>
    </xf>
    <xf numFmtId="0" fontId="1" fillId="0" borderId="7" xfId="0" applyFont="1" applyBorder="1" applyAlignment="1">
      <alignment vertical="top"/>
    </xf>
    <xf numFmtId="0" fontId="1" fillId="0" borderId="8" xfId="0" applyFont="1" applyBorder="1" applyAlignment="1">
      <alignment vertical="top"/>
    </xf>
    <xf numFmtId="0" fontId="1" fillId="0" borderId="8" xfId="0" applyFont="1" applyBorder="1" applyAlignment="1">
      <alignment vertical="top" wrapText="1"/>
    </xf>
    <xf numFmtId="0" fontId="1" fillId="0" borderId="9" xfId="0" applyFont="1" applyBorder="1" applyAlignment="1">
      <alignment vertical="top"/>
    </xf>
    <xf numFmtId="9" fontId="2" fillId="2" borderId="0" xfId="0" applyNumberFormat="1"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51"/>
  <sheetViews>
    <sheetView tabSelected="1" zoomScaleNormal="100" zoomScaleSheetLayoutView="100" workbookViewId="0"/>
  </sheetViews>
  <sheetFormatPr defaultRowHeight="15"/>
  <cols>
    <col min="1" max="1" width="12" customWidth="1"/>
    <col min="2" max="2" width="48" customWidth="1"/>
    <col min="3" max="3" width="13" customWidth="1"/>
    <col min="4" max="4" width="76" customWidth="1"/>
    <col min="5" max="5" width="68" customWidth="1"/>
    <col min="6" max="7" width="14" customWidth="1"/>
  </cols>
  <sheetData>
    <row r="1" spans="1:7" ht="30" customHeight="1">
      <c r="A1" s="2" t="s">
        <v>0</v>
      </c>
      <c r="B1" s="2" t="s">
        <v>1</v>
      </c>
      <c r="C1" s="5" t="s">
        <v>2</v>
      </c>
      <c r="D1" s="2" t="s">
        <v>3</v>
      </c>
      <c r="E1" s="2" t="s">
        <v>4</v>
      </c>
      <c r="F1" s="4" t="s">
        <v>5</v>
      </c>
      <c r="G1" s="4" t="s">
        <v>6</v>
      </c>
    </row>
    <row r="2" spans="1:7" ht="15" customHeight="1">
      <c r="A2" s="15" t="s">
        <v>7</v>
      </c>
      <c r="B2" s="16" t="s">
        <v>8</v>
      </c>
      <c r="C2" s="16">
        <v>54</v>
      </c>
      <c r="D2" s="17" t="s">
        <v>9</v>
      </c>
      <c r="E2" s="17" t="s">
        <v>10</v>
      </c>
      <c r="F2" s="16">
        <v>0.15</v>
      </c>
      <c r="G2" s="18">
        <f>C2*F2</f>
        <v>8.1</v>
      </c>
    </row>
    <row r="3" spans="1:7" ht="15" customHeight="1">
      <c r="A3" s="19" t="s">
        <v>7</v>
      </c>
      <c r="B3" s="20" t="s">
        <v>11</v>
      </c>
      <c r="C3" s="20">
        <v>49</v>
      </c>
      <c r="D3" s="21" t="s">
        <v>12</v>
      </c>
      <c r="E3" s="21" t="s">
        <v>13</v>
      </c>
      <c r="F3" s="20">
        <v>0.2</v>
      </c>
      <c r="G3" s="22">
        <f>C3*F3</f>
        <v>9.8000000000000007</v>
      </c>
    </row>
    <row r="4" spans="1:7" ht="15" customHeight="1">
      <c r="A4" s="19" t="s">
        <v>7</v>
      </c>
      <c r="B4" s="20" t="s">
        <v>14</v>
      </c>
      <c r="C4" s="20">
        <v>51</v>
      </c>
      <c r="D4" s="21" t="s">
        <v>15</v>
      </c>
      <c r="E4" s="21" t="s">
        <v>13</v>
      </c>
      <c r="F4" s="20">
        <v>0.25</v>
      </c>
      <c r="G4" s="22">
        <f>C4*F4</f>
        <v>12.75</v>
      </c>
    </row>
    <row r="5" spans="1:7" ht="15" customHeight="1">
      <c r="A5" s="19" t="s">
        <v>7</v>
      </c>
      <c r="B5" s="20" t="s">
        <v>16</v>
      </c>
      <c r="C5" s="20">
        <v>50</v>
      </c>
      <c r="D5" s="21" t="s">
        <v>17</v>
      </c>
      <c r="E5" s="21" t="s">
        <v>18</v>
      </c>
      <c r="F5" s="20">
        <v>0.4</v>
      </c>
      <c r="G5" s="22">
        <f>C5*F5</f>
        <v>20</v>
      </c>
    </row>
    <row r="6" spans="1:7" ht="15" customHeight="1">
      <c r="A6" s="19" t="s">
        <v>7</v>
      </c>
      <c r="B6" s="20" t="s">
        <v>19</v>
      </c>
      <c r="C6" s="20">
        <v>53</v>
      </c>
      <c r="D6" s="21" t="s">
        <v>20</v>
      </c>
      <c r="E6" s="21" t="s">
        <v>21</v>
      </c>
      <c r="F6" s="20">
        <v>0.2</v>
      </c>
      <c r="G6" s="22">
        <f>C6*F6</f>
        <v>10.600000000000001</v>
      </c>
    </row>
    <row r="7" spans="1:7" ht="15" customHeight="1">
      <c r="A7" s="19" t="s">
        <v>7</v>
      </c>
      <c r="B7" s="20" t="s">
        <v>22</v>
      </c>
      <c r="C7" s="20">
        <v>54</v>
      </c>
      <c r="D7" s="21" t="s">
        <v>23</v>
      </c>
      <c r="E7" s="21" t="s">
        <v>24</v>
      </c>
      <c r="F7" s="20">
        <v>0.3</v>
      </c>
      <c r="G7" s="22">
        <f>C7*F7</f>
        <v>16.2</v>
      </c>
    </row>
    <row r="8" spans="1:7" ht="15" customHeight="1">
      <c r="A8" s="19" t="s">
        <v>7</v>
      </c>
      <c r="B8" s="20" t="s">
        <v>25</v>
      </c>
      <c r="C8" s="20">
        <v>48</v>
      </c>
      <c r="D8" s="21" t="s">
        <v>26</v>
      </c>
      <c r="E8" s="21" t="s">
        <v>27</v>
      </c>
      <c r="F8" s="20">
        <v>0.5</v>
      </c>
      <c r="G8" s="22">
        <f>C8*F8</f>
        <v>24</v>
      </c>
    </row>
    <row r="9" spans="1:7" ht="15" customHeight="1">
      <c r="A9" s="19" t="s">
        <v>7</v>
      </c>
      <c r="B9" s="20" t="s">
        <v>28</v>
      </c>
      <c r="C9" s="20">
        <v>50</v>
      </c>
      <c r="D9" s="21" t="s">
        <v>29</v>
      </c>
      <c r="E9" s="21" t="s">
        <v>30</v>
      </c>
      <c r="F9" s="20">
        <v>0.1</v>
      </c>
      <c r="G9" s="22">
        <f>C9*F9</f>
        <v>5</v>
      </c>
    </row>
    <row r="10" spans="1:7" ht="15" customHeight="1">
      <c r="A10" s="19" t="s">
        <v>7</v>
      </c>
      <c r="B10" s="20" t="s">
        <v>31</v>
      </c>
      <c r="C10" s="20">
        <v>49</v>
      </c>
      <c r="D10" s="21" t="s">
        <v>32</v>
      </c>
      <c r="E10" s="21" t="s">
        <v>30</v>
      </c>
      <c r="F10" s="20">
        <v>0.2</v>
      </c>
      <c r="G10" s="22">
        <f>C10*F10</f>
        <v>9.8000000000000007</v>
      </c>
    </row>
    <row r="11" spans="1:7" ht="15" customHeight="1">
      <c r="A11" s="19" t="s">
        <v>7</v>
      </c>
      <c r="B11" s="20" t="s">
        <v>33</v>
      </c>
      <c r="C11" s="20">
        <v>50</v>
      </c>
      <c r="D11" s="21" t="s">
        <v>34</v>
      </c>
      <c r="E11" s="21" t="s">
        <v>35</v>
      </c>
      <c r="F11" s="20">
        <v>0.35</v>
      </c>
      <c r="G11" s="22">
        <f>C11*F11</f>
        <v>17.5</v>
      </c>
    </row>
    <row r="12" spans="1:7" ht="15" customHeight="1">
      <c r="A12" s="19" t="s">
        <v>7</v>
      </c>
      <c r="B12" s="20" t="s">
        <v>36</v>
      </c>
      <c r="C12" s="20">
        <v>46</v>
      </c>
      <c r="D12" s="21" t="s">
        <v>37</v>
      </c>
      <c r="E12" s="21" t="s">
        <v>38</v>
      </c>
      <c r="F12" s="20">
        <v>0.35</v>
      </c>
      <c r="G12" s="22">
        <f>C12*F12</f>
        <v>16.099999999999998</v>
      </c>
    </row>
    <row r="13" spans="1:7" ht="15" customHeight="1">
      <c r="A13" s="19" t="s">
        <v>39</v>
      </c>
      <c r="B13" s="20" t="s">
        <v>8</v>
      </c>
      <c r="C13" s="20">
        <v>69</v>
      </c>
      <c r="D13" s="21" t="s">
        <v>40</v>
      </c>
      <c r="E13" s="21" t="s">
        <v>10</v>
      </c>
      <c r="F13" s="20">
        <v>0.15</v>
      </c>
      <c r="G13" s="22">
        <f>C13*F13</f>
        <v>10.35</v>
      </c>
    </row>
    <row r="14" spans="1:7" ht="15" customHeight="1">
      <c r="A14" s="19" t="s">
        <v>39</v>
      </c>
      <c r="B14" s="20" t="s">
        <v>11</v>
      </c>
      <c r="C14" s="20">
        <v>71</v>
      </c>
      <c r="D14" s="21" t="s">
        <v>41</v>
      </c>
      <c r="E14" s="21" t="s">
        <v>13</v>
      </c>
      <c r="F14" s="20">
        <v>0.2</v>
      </c>
      <c r="G14" s="22">
        <f>C14*F14</f>
        <v>14.200000000000001</v>
      </c>
    </row>
    <row r="15" spans="1:7" ht="15" customHeight="1">
      <c r="A15" s="19" t="s">
        <v>39</v>
      </c>
      <c r="B15" s="20" t="s">
        <v>14</v>
      </c>
      <c r="C15" s="20">
        <v>73</v>
      </c>
      <c r="D15" s="21" t="s">
        <v>41</v>
      </c>
      <c r="E15" s="21" t="s">
        <v>13</v>
      </c>
      <c r="F15" s="20">
        <v>0.25</v>
      </c>
      <c r="G15" s="22">
        <f>C15*F15</f>
        <v>18.25</v>
      </c>
    </row>
    <row r="16" spans="1:7" ht="15" customHeight="1">
      <c r="A16" s="19" t="s">
        <v>39</v>
      </c>
      <c r="B16" s="20" t="s">
        <v>16</v>
      </c>
      <c r="C16" s="20">
        <v>71</v>
      </c>
      <c r="D16" s="21" t="s">
        <v>42</v>
      </c>
      <c r="E16" s="21" t="s">
        <v>18</v>
      </c>
      <c r="F16" s="20">
        <v>0.4</v>
      </c>
      <c r="G16" s="22">
        <f>C16*F16</f>
        <v>28.400000000000002</v>
      </c>
    </row>
    <row r="17" spans="1:7" ht="15" customHeight="1">
      <c r="A17" s="19" t="s">
        <v>39</v>
      </c>
      <c r="B17" s="20" t="s">
        <v>19</v>
      </c>
      <c r="C17" s="20">
        <v>72</v>
      </c>
      <c r="D17" s="21" t="s">
        <v>43</v>
      </c>
      <c r="E17" s="21" t="s">
        <v>21</v>
      </c>
      <c r="F17" s="20">
        <v>0.2</v>
      </c>
      <c r="G17" s="22">
        <f>C17*F17</f>
        <v>14.4</v>
      </c>
    </row>
    <row r="18" spans="1:7" ht="15" customHeight="1">
      <c r="A18" s="19" t="s">
        <v>39</v>
      </c>
      <c r="B18" s="20" t="s">
        <v>22</v>
      </c>
      <c r="C18" s="20">
        <v>72</v>
      </c>
      <c r="D18" s="21" t="s">
        <v>44</v>
      </c>
      <c r="E18" s="21" t="s">
        <v>24</v>
      </c>
      <c r="F18" s="20">
        <v>0.3</v>
      </c>
      <c r="G18" s="22">
        <f>C18*F18</f>
        <v>21.599999999999998</v>
      </c>
    </row>
    <row r="19" spans="1:7" ht="15" customHeight="1">
      <c r="A19" s="19" t="s">
        <v>39</v>
      </c>
      <c r="B19" s="20" t="s">
        <v>25</v>
      </c>
      <c r="C19" s="20">
        <v>70</v>
      </c>
      <c r="D19" s="21" t="s">
        <v>45</v>
      </c>
      <c r="E19" s="21" t="s">
        <v>27</v>
      </c>
      <c r="F19" s="20">
        <v>0.5</v>
      </c>
      <c r="G19" s="22">
        <f>C19*F19</f>
        <v>35</v>
      </c>
    </row>
    <row r="20" spans="1:7" ht="15" customHeight="1">
      <c r="A20" s="19" t="s">
        <v>39</v>
      </c>
      <c r="B20" s="20" t="s">
        <v>28</v>
      </c>
      <c r="C20" s="20">
        <v>69</v>
      </c>
      <c r="D20" s="21" t="s">
        <v>46</v>
      </c>
      <c r="E20" s="21" t="s">
        <v>30</v>
      </c>
      <c r="F20" s="20">
        <v>0.1</v>
      </c>
      <c r="G20" s="22">
        <f>C20*F20</f>
        <v>6.9</v>
      </c>
    </row>
    <row r="21" spans="1:7" ht="15" customHeight="1">
      <c r="A21" s="19" t="s">
        <v>39</v>
      </c>
      <c r="B21" s="20" t="s">
        <v>31</v>
      </c>
      <c r="C21" s="20">
        <v>63</v>
      </c>
      <c r="D21" s="21" t="s">
        <v>29</v>
      </c>
      <c r="E21" s="21" t="s">
        <v>30</v>
      </c>
      <c r="F21" s="20">
        <v>0.2</v>
      </c>
      <c r="G21" s="22">
        <f>C21*F21</f>
        <v>12.600000000000001</v>
      </c>
    </row>
    <row r="22" spans="1:7" ht="15" customHeight="1">
      <c r="A22" s="19" t="s">
        <v>39</v>
      </c>
      <c r="B22" s="20" t="s">
        <v>33</v>
      </c>
      <c r="C22" s="20">
        <v>69</v>
      </c>
      <c r="D22" s="21" t="s">
        <v>47</v>
      </c>
      <c r="E22" s="21" t="s">
        <v>35</v>
      </c>
      <c r="F22" s="20">
        <v>0.35</v>
      </c>
      <c r="G22" s="22">
        <f>C22*F22</f>
        <v>24.15</v>
      </c>
    </row>
    <row r="23" spans="1:7" ht="15" customHeight="1">
      <c r="A23" s="19" t="s">
        <v>39</v>
      </c>
      <c r="B23" s="20" t="s">
        <v>36</v>
      </c>
      <c r="C23" s="20">
        <v>63</v>
      </c>
      <c r="D23" s="21" t="s">
        <v>48</v>
      </c>
      <c r="E23" s="21" t="s">
        <v>38</v>
      </c>
      <c r="F23" s="20">
        <v>0.35</v>
      </c>
      <c r="G23" s="22">
        <f>C23*F23</f>
        <v>22.049999999999997</v>
      </c>
    </row>
    <row r="24" spans="1:7" ht="15" customHeight="1">
      <c r="A24" s="19" t="s">
        <v>49</v>
      </c>
      <c r="B24" s="20" t="s">
        <v>8</v>
      </c>
      <c r="C24" s="20">
        <v>60</v>
      </c>
      <c r="D24" s="21" t="s">
        <v>9</v>
      </c>
      <c r="E24" s="21" t="s">
        <v>10</v>
      </c>
      <c r="F24" s="20">
        <v>0.15</v>
      </c>
      <c r="G24" s="22">
        <f>C24*F24</f>
        <v>9</v>
      </c>
    </row>
    <row r="25" spans="1:7" ht="15" customHeight="1">
      <c r="A25" s="19" t="s">
        <v>49</v>
      </c>
      <c r="B25" s="20" t="s">
        <v>11</v>
      </c>
      <c r="C25" s="20">
        <v>63</v>
      </c>
      <c r="D25" s="21" t="s">
        <v>15</v>
      </c>
      <c r="E25" s="21" t="s">
        <v>13</v>
      </c>
      <c r="F25" s="20">
        <v>0.2</v>
      </c>
      <c r="G25" s="22">
        <f>C25*F25</f>
        <v>12.600000000000001</v>
      </c>
    </row>
    <row r="26" spans="1:7" ht="15" customHeight="1">
      <c r="A26" s="19" t="s">
        <v>49</v>
      </c>
      <c r="B26" s="20" t="s">
        <v>14</v>
      </c>
      <c r="C26" s="20">
        <v>65</v>
      </c>
      <c r="D26" s="21" t="s">
        <v>41</v>
      </c>
      <c r="E26" s="21" t="s">
        <v>13</v>
      </c>
      <c r="F26" s="20">
        <v>0.25</v>
      </c>
      <c r="G26" s="22">
        <f>C26*F26</f>
        <v>16.25</v>
      </c>
    </row>
    <row r="27" spans="1:7" ht="15" customHeight="1">
      <c r="A27" s="19" t="s">
        <v>49</v>
      </c>
      <c r="B27" s="20" t="s">
        <v>16</v>
      </c>
      <c r="C27" s="20">
        <v>62</v>
      </c>
      <c r="D27" s="21" t="s">
        <v>17</v>
      </c>
      <c r="E27" s="21" t="s">
        <v>18</v>
      </c>
      <c r="F27" s="20">
        <v>0.4</v>
      </c>
      <c r="G27" s="22">
        <f>C27*F27</f>
        <v>24.8</v>
      </c>
    </row>
    <row r="28" spans="1:7" ht="15" customHeight="1">
      <c r="A28" s="19" t="s">
        <v>49</v>
      </c>
      <c r="B28" s="20" t="s">
        <v>19</v>
      </c>
      <c r="C28" s="20">
        <v>66</v>
      </c>
      <c r="D28" s="21" t="s">
        <v>43</v>
      </c>
      <c r="E28" s="21" t="s">
        <v>21</v>
      </c>
      <c r="F28" s="20">
        <v>0.2</v>
      </c>
      <c r="G28" s="22">
        <f>C28*F28</f>
        <v>13.200000000000001</v>
      </c>
    </row>
    <row r="29" spans="1:7" ht="15" customHeight="1">
      <c r="A29" s="19" t="s">
        <v>49</v>
      </c>
      <c r="B29" s="20" t="s">
        <v>22</v>
      </c>
      <c r="C29" s="20">
        <v>63</v>
      </c>
      <c r="D29" s="21" t="s">
        <v>23</v>
      </c>
      <c r="E29" s="21" t="s">
        <v>24</v>
      </c>
      <c r="F29" s="20">
        <v>0.3</v>
      </c>
      <c r="G29" s="22">
        <f>C29*F29</f>
        <v>18.899999999999999</v>
      </c>
    </row>
    <row r="30" spans="1:7" ht="15" customHeight="1">
      <c r="A30" s="19" t="s">
        <v>49</v>
      </c>
      <c r="B30" s="20" t="s">
        <v>25</v>
      </c>
      <c r="C30" s="20">
        <v>64</v>
      </c>
      <c r="D30" s="21" t="s">
        <v>50</v>
      </c>
      <c r="E30" s="21" t="s">
        <v>27</v>
      </c>
      <c r="F30" s="20">
        <v>0.5</v>
      </c>
      <c r="G30" s="22">
        <f>C30*F30</f>
        <v>32</v>
      </c>
    </row>
    <row r="31" spans="1:7" ht="15" customHeight="1">
      <c r="A31" s="19" t="s">
        <v>49</v>
      </c>
      <c r="B31" s="20" t="s">
        <v>28</v>
      </c>
      <c r="C31" s="20">
        <v>65</v>
      </c>
      <c r="D31" s="21" t="s">
        <v>46</v>
      </c>
      <c r="E31" s="21" t="s">
        <v>30</v>
      </c>
      <c r="F31" s="20">
        <v>0.1</v>
      </c>
      <c r="G31" s="22">
        <f>C31*F31</f>
        <v>6.5</v>
      </c>
    </row>
    <row r="32" spans="1:7" ht="15" customHeight="1">
      <c r="A32" s="19" t="s">
        <v>49</v>
      </c>
      <c r="B32" s="20" t="s">
        <v>31</v>
      </c>
      <c r="C32" s="20">
        <v>67</v>
      </c>
      <c r="D32" s="21" t="s">
        <v>46</v>
      </c>
      <c r="E32" s="21" t="s">
        <v>30</v>
      </c>
      <c r="F32" s="20">
        <v>0.2</v>
      </c>
      <c r="G32" s="22">
        <f>C32*F32</f>
        <v>13.4</v>
      </c>
    </row>
    <row r="33" spans="1:7" ht="15" customHeight="1">
      <c r="A33" s="19" t="s">
        <v>49</v>
      </c>
      <c r="B33" s="20" t="s">
        <v>33</v>
      </c>
      <c r="C33" s="20">
        <v>64</v>
      </c>
      <c r="D33" s="21" t="s">
        <v>34</v>
      </c>
      <c r="E33" s="21" t="s">
        <v>35</v>
      </c>
      <c r="F33" s="20">
        <v>0.35</v>
      </c>
      <c r="G33" s="22">
        <f>C33*F33</f>
        <v>22.4</v>
      </c>
    </row>
    <row r="34" spans="1:7" ht="15" customHeight="1">
      <c r="A34" s="19" t="s">
        <v>49</v>
      </c>
      <c r="B34" s="20" t="s">
        <v>36</v>
      </c>
      <c r="C34" s="20">
        <v>66</v>
      </c>
      <c r="D34" s="21" t="s">
        <v>51</v>
      </c>
      <c r="E34" s="21" t="s">
        <v>38</v>
      </c>
      <c r="F34" s="20">
        <v>0.35</v>
      </c>
      <c r="G34" s="22">
        <f>C34*F34</f>
        <v>23.099999999999998</v>
      </c>
    </row>
    <row r="35" spans="1:7" ht="15" customHeight="1">
      <c r="A35" s="19" t="s">
        <v>52</v>
      </c>
      <c r="B35" s="20" t="s">
        <v>8</v>
      </c>
      <c r="C35" s="20">
        <v>50</v>
      </c>
      <c r="D35" s="21" t="s">
        <v>9</v>
      </c>
      <c r="E35" s="21" t="s">
        <v>10</v>
      </c>
      <c r="F35" s="20">
        <v>0.15</v>
      </c>
      <c r="G35" s="22">
        <f>C35*F35</f>
        <v>7.5</v>
      </c>
    </row>
    <row r="36" spans="1:7" ht="15" customHeight="1">
      <c r="A36" s="19" t="s">
        <v>52</v>
      </c>
      <c r="B36" s="20" t="s">
        <v>11</v>
      </c>
      <c r="C36" s="20">
        <v>51</v>
      </c>
      <c r="D36" s="21" t="s">
        <v>15</v>
      </c>
      <c r="E36" s="21" t="s">
        <v>13</v>
      </c>
      <c r="F36" s="20">
        <v>0.2</v>
      </c>
      <c r="G36" s="22">
        <f>C36*F36</f>
        <v>10.200000000000001</v>
      </c>
    </row>
    <row r="37" spans="1:7" ht="15" customHeight="1">
      <c r="A37" s="19" t="s">
        <v>52</v>
      </c>
      <c r="B37" s="20" t="s">
        <v>14</v>
      </c>
      <c r="C37" s="20">
        <v>50</v>
      </c>
      <c r="D37" s="21" t="s">
        <v>15</v>
      </c>
      <c r="E37" s="21" t="s">
        <v>13</v>
      </c>
      <c r="F37" s="20">
        <v>0.25</v>
      </c>
      <c r="G37" s="22">
        <f>C37*F37</f>
        <v>12.5</v>
      </c>
    </row>
    <row r="38" spans="1:7" ht="15" customHeight="1">
      <c r="A38" s="19" t="s">
        <v>52</v>
      </c>
      <c r="B38" s="20" t="s">
        <v>16</v>
      </c>
      <c r="C38" s="20">
        <v>56</v>
      </c>
      <c r="D38" s="21" t="s">
        <v>17</v>
      </c>
      <c r="E38" s="21" t="s">
        <v>18</v>
      </c>
      <c r="F38" s="20">
        <v>0.4</v>
      </c>
      <c r="G38" s="22">
        <f>C38*F38</f>
        <v>22.400000000000002</v>
      </c>
    </row>
    <row r="39" spans="1:7" ht="15" customHeight="1">
      <c r="A39" s="19" t="s">
        <v>52</v>
      </c>
      <c r="B39" s="20" t="s">
        <v>19</v>
      </c>
      <c r="C39" s="20">
        <v>49</v>
      </c>
      <c r="D39" s="21" t="s">
        <v>53</v>
      </c>
      <c r="E39" s="21" t="s">
        <v>21</v>
      </c>
      <c r="F39" s="20">
        <v>0.2</v>
      </c>
      <c r="G39" s="22">
        <f>C39*F39</f>
        <v>9.8000000000000007</v>
      </c>
    </row>
    <row r="40" spans="1:7" ht="15" customHeight="1">
      <c r="A40" s="19" t="s">
        <v>52</v>
      </c>
      <c r="B40" s="20" t="s">
        <v>22</v>
      </c>
      <c r="C40" s="20">
        <v>49</v>
      </c>
      <c r="D40" s="21" t="s">
        <v>54</v>
      </c>
      <c r="E40" s="21" t="s">
        <v>24</v>
      </c>
      <c r="F40" s="20">
        <v>0.3</v>
      </c>
      <c r="G40" s="22">
        <f>C40*F40</f>
        <v>14.7</v>
      </c>
    </row>
    <row r="41" spans="1:7" ht="15" customHeight="1">
      <c r="A41" s="19" t="s">
        <v>52</v>
      </c>
      <c r="B41" s="20" t="s">
        <v>25</v>
      </c>
      <c r="C41" s="20">
        <v>47</v>
      </c>
      <c r="D41" s="21" t="s">
        <v>26</v>
      </c>
      <c r="E41" s="21" t="s">
        <v>27</v>
      </c>
      <c r="F41" s="20">
        <v>0.5</v>
      </c>
      <c r="G41" s="22">
        <f>C41*F41</f>
        <v>23.5</v>
      </c>
    </row>
    <row r="42" spans="1:7" ht="15" customHeight="1">
      <c r="A42" s="19" t="s">
        <v>52</v>
      </c>
      <c r="B42" s="20" t="s">
        <v>28</v>
      </c>
      <c r="C42" s="20">
        <v>54</v>
      </c>
      <c r="D42" s="21" t="s">
        <v>29</v>
      </c>
      <c r="E42" s="21" t="s">
        <v>30</v>
      </c>
      <c r="F42" s="20">
        <v>0.1</v>
      </c>
      <c r="G42" s="22">
        <f>C42*F42</f>
        <v>5.4</v>
      </c>
    </row>
    <row r="43" spans="1:7" ht="15" customHeight="1">
      <c r="A43" s="19" t="s">
        <v>52</v>
      </c>
      <c r="B43" s="20" t="s">
        <v>31</v>
      </c>
      <c r="C43" s="20">
        <v>50</v>
      </c>
      <c r="D43" s="21" t="s">
        <v>29</v>
      </c>
      <c r="E43" s="21" t="s">
        <v>30</v>
      </c>
      <c r="F43" s="20">
        <v>0.2</v>
      </c>
      <c r="G43" s="22">
        <f>C43*F43</f>
        <v>10</v>
      </c>
    </row>
    <row r="44" spans="1:7" ht="15" customHeight="1">
      <c r="A44" s="19" t="s">
        <v>52</v>
      </c>
      <c r="B44" s="20" t="s">
        <v>33</v>
      </c>
      <c r="C44" s="20">
        <v>56</v>
      </c>
      <c r="D44" s="21" t="s">
        <v>34</v>
      </c>
      <c r="E44" s="21" t="s">
        <v>35</v>
      </c>
      <c r="F44" s="20">
        <v>0.35</v>
      </c>
      <c r="G44" s="22">
        <f>C44*F44</f>
        <v>19.599999999999998</v>
      </c>
    </row>
    <row r="45" spans="1:7" ht="15" customHeight="1">
      <c r="A45" s="19" t="s">
        <v>52</v>
      </c>
      <c r="B45" s="20" t="s">
        <v>36</v>
      </c>
      <c r="C45" s="20">
        <v>56</v>
      </c>
      <c r="D45" s="21" t="s">
        <v>48</v>
      </c>
      <c r="E45" s="21" t="s">
        <v>38</v>
      </c>
      <c r="F45" s="20">
        <v>0.35</v>
      </c>
      <c r="G45" s="22">
        <f>C45*F45</f>
        <v>19.599999999999998</v>
      </c>
    </row>
    <row r="46" spans="1:7" ht="15" customHeight="1">
      <c r="A46" s="19" t="s">
        <v>55</v>
      </c>
      <c r="B46" s="20" t="s">
        <v>8</v>
      </c>
      <c r="C46" s="20">
        <v>75</v>
      </c>
      <c r="D46" s="21" t="s">
        <v>56</v>
      </c>
      <c r="E46" s="21" t="s">
        <v>10</v>
      </c>
      <c r="F46" s="20">
        <v>0.15</v>
      </c>
      <c r="G46" s="22">
        <f>C46*F46</f>
        <v>11.25</v>
      </c>
    </row>
    <row r="47" spans="1:7" ht="15" customHeight="1">
      <c r="A47" s="19" t="s">
        <v>55</v>
      </c>
      <c r="B47" s="20" t="s">
        <v>11</v>
      </c>
      <c r="C47" s="20">
        <v>70</v>
      </c>
      <c r="D47" s="21" t="s">
        <v>41</v>
      </c>
      <c r="E47" s="21" t="s">
        <v>13</v>
      </c>
      <c r="F47" s="20">
        <v>0.2</v>
      </c>
      <c r="G47" s="22">
        <f>C47*F47</f>
        <v>14</v>
      </c>
    </row>
    <row r="48" spans="1:7" ht="15" customHeight="1">
      <c r="A48" s="19" t="s">
        <v>55</v>
      </c>
      <c r="B48" s="20" t="s">
        <v>14</v>
      </c>
      <c r="C48" s="20">
        <v>70</v>
      </c>
      <c r="D48" s="21" t="s">
        <v>41</v>
      </c>
      <c r="E48" s="21" t="s">
        <v>13</v>
      </c>
      <c r="F48" s="20">
        <v>0.25</v>
      </c>
      <c r="G48" s="22">
        <f>C48*F48</f>
        <v>17.5</v>
      </c>
    </row>
    <row r="49" spans="1:7" ht="15" customHeight="1">
      <c r="A49" s="19" t="s">
        <v>55</v>
      </c>
      <c r="B49" s="20" t="s">
        <v>16</v>
      </c>
      <c r="C49" s="20">
        <v>76</v>
      </c>
      <c r="D49" s="21" t="s">
        <v>57</v>
      </c>
      <c r="E49" s="21" t="s">
        <v>18</v>
      </c>
      <c r="F49" s="20">
        <v>0.4</v>
      </c>
      <c r="G49" s="22">
        <f>C49*F49</f>
        <v>30.400000000000002</v>
      </c>
    </row>
    <row r="50" spans="1:7" ht="15" customHeight="1">
      <c r="A50" s="19" t="s">
        <v>55</v>
      </c>
      <c r="B50" s="20" t="s">
        <v>19</v>
      </c>
      <c r="C50" s="20">
        <v>72</v>
      </c>
      <c r="D50" s="21" t="s">
        <v>43</v>
      </c>
      <c r="E50" s="21" t="s">
        <v>21</v>
      </c>
      <c r="F50" s="20">
        <v>0.2</v>
      </c>
      <c r="G50" s="22">
        <f>C50*F50</f>
        <v>14.4</v>
      </c>
    </row>
    <row r="51" spans="1:7" ht="15" customHeight="1">
      <c r="A51" s="19" t="s">
        <v>55</v>
      </c>
      <c r="B51" s="20" t="s">
        <v>22</v>
      </c>
      <c r="C51" s="20">
        <v>75</v>
      </c>
      <c r="D51" s="21" t="s">
        <v>58</v>
      </c>
      <c r="E51" s="21" t="s">
        <v>24</v>
      </c>
      <c r="F51" s="20">
        <v>0.3</v>
      </c>
      <c r="G51" s="22">
        <f>C51*F51</f>
        <v>22.5</v>
      </c>
    </row>
    <row r="52" spans="1:7" ht="15" customHeight="1">
      <c r="A52" s="19" t="s">
        <v>55</v>
      </c>
      <c r="B52" s="20" t="s">
        <v>25</v>
      </c>
      <c r="C52" s="20">
        <v>74</v>
      </c>
      <c r="D52" s="21" t="s">
        <v>45</v>
      </c>
      <c r="E52" s="21" t="s">
        <v>27</v>
      </c>
      <c r="F52" s="20">
        <v>0.5</v>
      </c>
      <c r="G52" s="22">
        <f>C52*F52</f>
        <v>37</v>
      </c>
    </row>
    <row r="53" spans="1:7" ht="15" customHeight="1">
      <c r="A53" s="19" t="s">
        <v>55</v>
      </c>
      <c r="B53" s="20" t="s">
        <v>28</v>
      </c>
      <c r="C53" s="20">
        <v>72</v>
      </c>
      <c r="D53" s="21" t="s">
        <v>46</v>
      </c>
      <c r="E53" s="21" t="s">
        <v>30</v>
      </c>
      <c r="F53" s="20">
        <v>0.1</v>
      </c>
      <c r="G53" s="22">
        <f>C53*F53</f>
        <v>7.2</v>
      </c>
    </row>
    <row r="54" spans="1:7" ht="15" customHeight="1">
      <c r="A54" s="19" t="s">
        <v>55</v>
      </c>
      <c r="B54" s="20" t="s">
        <v>31</v>
      </c>
      <c r="C54" s="20">
        <v>72</v>
      </c>
      <c r="D54" s="21" t="s">
        <v>46</v>
      </c>
      <c r="E54" s="21" t="s">
        <v>30</v>
      </c>
      <c r="F54" s="20">
        <v>0.2</v>
      </c>
      <c r="G54" s="22">
        <f>C54*F54</f>
        <v>14.4</v>
      </c>
    </row>
    <row r="55" spans="1:7" ht="15" customHeight="1">
      <c r="A55" s="19" t="s">
        <v>55</v>
      </c>
      <c r="B55" s="20" t="s">
        <v>33</v>
      </c>
      <c r="C55" s="20">
        <v>74</v>
      </c>
      <c r="D55" s="21" t="s">
        <v>47</v>
      </c>
      <c r="E55" s="21" t="s">
        <v>35</v>
      </c>
      <c r="F55" s="20">
        <v>0.35</v>
      </c>
      <c r="G55" s="22">
        <f>C55*F55</f>
        <v>25.9</v>
      </c>
    </row>
    <row r="56" spans="1:7" ht="15" customHeight="1">
      <c r="A56" s="19" t="s">
        <v>55</v>
      </c>
      <c r="B56" s="20" t="s">
        <v>36</v>
      </c>
      <c r="C56" s="20">
        <v>75</v>
      </c>
      <c r="D56" s="21" t="s">
        <v>59</v>
      </c>
      <c r="E56" s="21" t="s">
        <v>38</v>
      </c>
      <c r="F56" s="20">
        <v>0.35</v>
      </c>
      <c r="G56" s="22">
        <f>C56*F56</f>
        <v>26.25</v>
      </c>
    </row>
    <row r="57" spans="1:7" ht="15" customHeight="1">
      <c r="A57" s="19" t="s">
        <v>60</v>
      </c>
      <c r="B57" s="20" t="s">
        <v>8</v>
      </c>
      <c r="C57" s="20">
        <v>71</v>
      </c>
      <c r="D57" s="21" t="s">
        <v>40</v>
      </c>
      <c r="E57" s="21" t="s">
        <v>10</v>
      </c>
      <c r="F57" s="20">
        <v>0.15</v>
      </c>
      <c r="G57" s="22">
        <f>C57*F57</f>
        <v>10.65</v>
      </c>
    </row>
    <row r="58" spans="1:7" ht="15" customHeight="1">
      <c r="A58" s="19" t="s">
        <v>60</v>
      </c>
      <c r="B58" s="20" t="s">
        <v>11</v>
      </c>
      <c r="C58" s="20">
        <v>76</v>
      </c>
      <c r="D58" s="21" t="s">
        <v>61</v>
      </c>
      <c r="E58" s="21" t="s">
        <v>13</v>
      </c>
      <c r="F58" s="20">
        <v>0.2</v>
      </c>
      <c r="G58" s="22">
        <f>C58*F58</f>
        <v>15.200000000000001</v>
      </c>
    </row>
    <row r="59" spans="1:7" ht="15" customHeight="1">
      <c r="A59" s="19" t="s">
        <v>60</v>
      </c>
      <c r="B59" s="20" t="s">
        <v>14</v>
      </c>
      <c r="C59" s="20">
        <v>70</v>
      </c>
      <c r="D59" s="21" t="s">
        <v>41</v>
      </c>
      <c r="E59" s="21" t="s">
        <v>13</v>
      </c>
      <c r="F59" s="20">
        <v>0.25</v>
      </c>
      <c r="G59" s="22">
        <f>C59*F59</f>
        <v>17.5</v>
      </c>
    </row>
    <row r="60" spans="1:7" ht="15" customHeight="1">
      <c r="A60" s="19" t="s">
        <v>60</v>
      </c>
      <c r="B60" s="20" t="s">
        <v>16</v>
      </c>
      <c r="C60" s="20">
        <v>76</v>
      </c>
      <c r="D60" s="21" t="s">
        <v>57</v>
      </c>
      <c r="E60" s="21" t="s">
        <v>18</v>
      </c>
      <c r="F60" s="20">
        <v>0.4</v>
      </c>
      <c r="G60" s="22">
        <f>C60*F60</f>
        <v>30.400000000000002</v>
      </c>
    </row>
    <row r="61" spans="1:7" ht="15" customHeight="1">
      <c r="A61" s="19" t="s">
        <v>60</v>
      </c>
      <c r="B61" s="20" t="s">
        <v>19</v>
      </c>
      <c r="C61" s="20">
        <v>71</v>
      </c>
      <c r="D61" s="21" t="s">
        <v>43</v>
      </c>
      <c r="E61" s="21" t="s">
        <v>21</v>
      </c>
      <c r="F61" s="20">
        <v>0.2</v>
      </c>
      <c r="G61" s="22">
        <f>C61*F61</f>
        <v>14.200000000000001</v>
      </c>
    </row>
    <row r="62" spans="1:7" ht="15" customHeight="1">
      <c r="A62" s="19" t="s">
        <v>60</v>
      </c>
      <c r="B62" s="20" t="s">
        <v>22</v>
      </c>
      <c r="C62" s="20">
        <v>75</v>
      </c>
      <c r="D62" s="21" t="s">
        <v>58</v>
      </c>
      <c r="E62" s="21" t="s">
        <v>24</v>
      </c>
      <c r="F62" s="20">
        <v>0.3</v>
      </c>
      <c r="G62" s="22">
        <f>C62*F62</f>
        <v>22.5</v>
      </c>
    </row>
    <row r="63" spans="1:7" ht="15" customHeight="1">
      <c r="A63" s="19" t="s">
        <v>60</v>
      </c>
      <c r="B63" s="20" t="s">
        <v>25</v>
      </c>
      <c r="C63" s="20">
        <v>73</v>
      </c>
      <c r="D63" s="21" t="s">
        <v>45</v>
      </c>
      <c r="E63" s="21" t="s">
        <v>27</v>
      </c>
      <c r="F63" s="20">
        <v>0.5</v>
      </c>
      <c r="G63" s="22">
        <f>C63*F63</f>
        <v>36.5</v>
      </c>
    </row>
    <row r="64" spans="1:7" ht="15" customHeight="1">
      <c r="A64" s="19" t="s">
        <v>60</v>
      </c>
      <c r="B64" s="20" t="s">
        <v>28</v>
      </c>
      <c r="C64" s="20">
        <v>76</v>
      </c>
      <c r="D64" s="21" t="s">
        <v>62</v>
      </c>
      <c r="E64" s="21" t="s">
        <v>30</v>
      </c>
      <c r="F64" s="20">
        <v>0.1</v>
      </c>
      <c r="G64" s="22">
        <f>C64*F64</f>
        <v>7.6000000000000005</v>
      </c>
    </row>
    <row r="65" spans="1:7" ht="15" customHeight="1">
      <c r="A65" s="19" t="s">
        <v>60</v>
      </c>
      <c r="B65" s="20" t="s">
        <v>31</v>
      </c>
      <c r="C65" s="20">
        <v>72</v>
      </c>
      <c r="D65" s="21" t="s">
        <v>46</v>
      </c>
      <c r="E65" s="21" t="s">
        <v>30</v>
      </c>
      <c r="F65" s="20">
        <v>0.2</v>
      </c>
      <c r="G65" s="22">
        <f>C65*F65</f>
        <v>14.4</v>
      </c>
    </row>
    <row r="66" spans="1:7" ht="15" customHeight="1">
      <c r="A66" s="19" t="s">
        <v>60</v>
      </c>
      <c r="B66" s="20" t="s">
        <v>33</v>
      </c>
      <c r="C66" s="20">
        <v>76</v>
      </c>
      <c r="D66" s="21" t="s">
        <v>63</v>
      </c>
      <c r="E66" s="21" t="s">
        <v>35</v>
      </c>
      <c r="F66" s="20">
        <v>0.35</v>
      </c>
      <c r="G66" s="22">
        <f>C66*F66</f>
        <v>26.599999999999998</v>
      </c>
    </row>
    <row r="67" spans="1:7" ht="15" customHeight="1">
      <c r="A67" s="19" t="s">
        <v>60</v>
      </c>
      <c r="B67" s="20" t="s">
        <v>36</v>
      </c>
      <c r="C67" s="20">
        <v>75</v>
      </c>
      <c r="D67" s="21" t="s">
        <v>59</v>
      </c>
      <c r="E67" s="21" t="s">
        <v>38</v>
      </c>
      <c r="F67" s="20">
        <v>0.35</v>
      </c>
      <c r="G67" s="22">
        <f>C67*F67</f>
        <v>26.25</v>
      </c>
    </row>
    <row r="68" spans="1:7" ht="15" customHeight="1">
      <c r="A68" s="19" t="s">
        <v>64</v>
      </c>
      <c r="B68" s="20" t="s">
        <v>8</v>
      </c>
      <c r="C68" s="20">
        <v>55</v>
      </c>
      <c r="D68" s="21" t="s">
        <v>9</v>
      </c>
      <c r="E68" s="21" t="s">
        <v>10</v>
      </c>
      <c r="F68" s="20">
        <v>0.15</v>
      </c>
      <c r="G68" s="22">
        <f>C68*F68</f>
        <v>8.25</v>
      </c>
    </row>
    <row r="69" spans="1:7" ht="15" customHeight="1">
      <c r="A69" s="19" t="s">
        <v>64</v>
      </c>
      <c r="B69" s="20" t="s">
        <v>11</v>
      </c>
      <c r="C69" s="20">
        <v>50</v>
      </c>
      <c r="D69" s="21" t="s">
        <v>15</v>
      </c>
      <c r="E69" s="21" t="s">
        <v>13</v>
      </c>
      <c r="F69" s="20">
        <v>0.2</v>
      </c>
      <c r="G69" s="22">
        <f>C69*F69</f>
        <v>10</v>
      </c>
    </row>
    <row r="70" spans="1:7" ht="15" customHeight="1">
      <c r="A70" s="19" t="s">
        <v>64</v>
      </c>
      <c r="B70" s="20" t="s">
        <v>14</v>
      </c>
      <c r="C70" s="20">
        <v>52</v>
      </c>
      <c r="D70" s="21" t="s">
        <v>15</v>
      </c>
      <c r="E70" s="21" t="s">
        <v>13</v>
      </c>
      <c r="F70" s="20">
        <v>0.25</v>
      </c>
      <c r="G70" s="22">
        <f>C70*F70</f>
        <v>13</v>
      </c>
    </row>
    <row r="71" spans="1:7" ht="15" customHeight="1">
      <c r="A71" s="19" t="s">
        <v>64</v>
      </c>
      <c r="B71" s="20" t="s">
        <v>16</v>
      </c>
      <c r="C71" s="20">
        <v>53</v>
      </c>
      <c r="D71" s="21" t="s">
        <v>17</v>
      </c>
      <c r="E71" s="21" t="s">
        <v>18</v>
      </c>
      <c r="F71" s="20">
        <v>0.4</v>
      </c>
      <c r="G71" s="22">
        <f>C71*F71</f>
        <v>21.200000000000003</v>
      </c>
    </row>
    <row r="72" spans="1:7" ht="15" customHeight="1">
      <c r="A72" s="19" t="s">
        <v>64</v>
      </c>
      <c r="B72" s="20" t="s">
        <v>19</v>
      </c>
      <c r="C72" s="20">
        <v>57</v>
      </c>
      <c r="D72" s="21" t="s">
        <v>20</v>
      </c>
      <c r="E72" s="21" t="s">
        <v>21</v>
      </c>
      <c r="F72" s="20">
        <v>0.2</v>
      </c>
      <c r="G72" s="22">
        <f>C72*F72</f>
        <v>11.4</v>
      </c>
    </row>
    <row r="73" spans="1:7" ht="15" customHeight="1">
      <c r="A73" s="19" t="s">
        <v>64</v>
      </c>
      <c r="B73" s="20" t="s">
        <v>22</v>
      </c>
      <c r="C73" s="20">
        <v>54</v>
      </c>
      <c r="D73" s="21" t="s">
        <v>23</v>
      </c>
      <c r="E73" s="21" t="s">
        <v>24</v>
      </c>
      <c r="F73" s="20">
        <v>0.3</v>
      </c>
      <c r="G73" s="22">
        <f>C73*F73</f>
        <v>16.2</v>
      </c>
    </row>
    <row r="74" spans="1:7" ht="15" customHeight="1">
      <c r="A74" s="19" t="s">
        <v>64</v>
      </c>
      <c r="B74" s="20" t="s">
        <v>25</v>
      </c>
      <c r="C74" s="20">
        <v>57</v>
      </c>
      <c r="D74" s="21" t="s">
        <v>50</v>
      </c>
      <c r="E74" s="21" t="s">
        <v>27</v>
      </c>
      <c r="F74" s="20">
        <v>0.5</v>
      </c>
      <c r="G74" s="22">
        <f>C74*F74</f>
        <v>28.5</v>
      </c>
    </row>
    <row r="75" spans="1:7" ht="15" customHeight="1">
      <c r="A75" s="19" t="s">
        <v>64</v>
      </c>
      <c r="B75" s="20" t="s">
        <v>28</v>
      </c>
      <c r="C75" s="20">
        <v>49</v>
      </c>
      <c r="D75" s="21" t="s">
        <v>32</v>
      </c>
      <c r="E75" s="21" t="s">
        <v>30</v>
      </c>
      <c r="F75" s="20">
        <v>0.1</v>
      </c>
      <c r="G75" s="22">
        <f>C75*F75</f>
        <v>4.9000000000000004</v>
      </c>
    </row>
    <row r="76" spans="1:7" ht="15" customHeight="1">
      <c r="A76" s="19" t="s">
        <v>64</v>
      </c>
      <c r="B76" s="20" t="s">
        <v>31</v>
      </c>
      <c r="C76" s="20">
        <v>52</v>
      </c>
      <c r="D76" s="21" t="s">
        <v>29</v>
      </c>
      <c r="E76" s="21" t="s">
        <v>30</v>
      </c>
      <c r="F76" s="20">
        <v>0.2</v>
      </c>
      <c r="G76" s="22">
        <f>C76*F76</f>
        <v>10.4</v>
      </c>
    </row>
    <row r="77" spans="1:7" ht="15" customHeight="1">
      <c r="A77" s="19" t="s">
        <v>64</v>
      </c>
      <c r="B77" s="20" t="s">
        <v>33</v>
      </c>
      <c r="C77" s="20">
        <v>52</v>
      </c>
      <c r="D77" s="21" t="s">
        <v>34</v>
      </c>
      <c r="E77" s="21" t="s">
        <v>35</v>
      </c>
      <c r="F77" s="20">
        <v>0.35</v>
      </c>
      <c r="G77" s="22">
        <f>C77*F77</f>
        <v>18.2</v>
      </c>
    </row>
    <row r="78" spans="1:7" ht="15" customHeight="1">
      <c r="A78" s="19" t="s">
        <v>64</v>
      </c>
      <c r="B78" s="20" t="s">
        <v>36</v>
      </c>
      <c r="C78" s="20">
        <v>53</v>
      </c>
      <c r="D78" s="21" t="s">
        <v>48</v>
      </c>
      <c r="E78" s="21" t="s">
        <v>38</v>
      </c>
      <c r="F78" s="20">
        <v>0.35</v>
      </c>
      <c r="G78" s="22">
        <f>C78*F78</f>
        <v>18.549999999999997</v>
      </c>
    </row>
    <row r="79" spans="1:7" ht="15" customHeight="1">
      <c r="A79" s="19" t="s">
        <v>65</v>
      </c>
      <c r="B79" s="20" t="s">
        <v>8</v>
      </c>
      <c r="C79" s="20">
        <v>74</v>
      </c>
      <c r="D79" s="21" t="s">
        <v>40</v>
      </c>
      <c r="E79" s="21" t="s">
        <v>10</v>
      </c>
      <c r="F79" s="20">
        <v>0.15</v>
      </c>
      <c r="G79" s="22">
        <f>C79*F79</f>
        <v>11.1</v>
      </c>
    </row>
    <row r="80" spans="1:7" ht="15" customHeight="1">
      <c r="A80" s="19" t="s">
        <v>65</v>
      </c>
      <c r="B80" s="20" t="s">
        <v>11</v>
      </c>
      <c r="C80" s="20">
        <v>78</v>
      </c>
      <c r="D80" s="21" t="s">
        <v>61</v>
      </c>
      <c r="E80" s="21" t="s">
        <v>13</v>
      </c>
      <c r="F80" s="20">
        <v>0.2</v>
      </c>
      <c r="G80" s="22">
        <f>C80*F80</f>
        <v>15.600000000000001</v>
      </c>
    </row>
    <row r="81" spans="1:7" ht="15" customHeight="1">
      <c r="A81" s="19" t="s">
        <v>65</v>
      </c>
      <c r="B81" s="20" t="s">
        <v>14</v>
      </c>
      <c r="C81" s="20">
        <v>73</v>
      </c>
      <c r="D81" s="21" t="s">
        <v>41</v>
      </c>
      <c r="E81" s="21" t="s">
        <v>13</v>
      </c>
      <c r="F81" s="20">
        <v>0.25</v>
      </c>
      <c r="G81" s="22">
        <f>C81*F81</f>
        <v>18.25</v>
      </c>
    </row>
    <row r="82" spans="1:7" ht="15" customHeight="1">
      <c r="A82" s="19" t="s">
        <v>65</v>
      </c>
      <c r="B82" s="20" t="s">
        <v>16</v>
      </c>
      <c r="C82" s="20">
        <v>79</v>
      </c>
      <c r="D82" s="21" t="s">
        <v>57</v>
      </c>
      <c r="E82" s="21" t="s">
        <v>18</v>
      </c>
      <c r="F82" s="20">
        <v>0.4</v>
      </c>
      <c r="G82" s="22">
        <f>C82*F82</f>
        <v>31.6</v>
      </c>
    </row>
    <row r="83" spans="1:7" ht="15" customHeight="1">
      <c r="A83" s="19" t="s">
        <v>65</v>
      </c>
      <c r="B83" s="20" t="s">
        <v>19</v>
      </c>
      <c r="C83" s="20">
        <v>81</v>
      </c>
      <c r="D83" s="21" t="s">
        <v>66</v>
      </c>
      <c r="E83" s="21" t="s">
        <v>21</v>
      </c>
      <c r="F83" s="20">
        <v>0.2</v>
      </c>
      <c r="G83" s="22">
        <f>C83*F83</f>
        <v>16.2</v>
      </c>
    </row>
    <row r="84" spans="1:7" ht="15" customHeight="1">
      <c r="A84" s="19" t="s">
        <v>65</v>
      </c>
      <c r="B84" s="20" t="s">
        <v>22</v>
      </c>
      <c r="C84" s="20">
        <v>77</v>
      </c>
      <c r="D84" s="21" t="s">
        <v>58</v>
      </c>
      <c r="E84" s="21" t="s">
        <v>24</v>
      </c>
      <c r="F84" s="20">
        <v>0.3</v>
      </c>
      <c r="G84" s="22">
        <f>C84*F84</f>
        <v>23.099999999999998</v>
      </c>
    </row>
    <row r="85" spans="1:7" ht="15" customHeight="1">
      <c r="A85" s="19" t="s">
        <v>65</v>
      </c>
      <c r="B85" s="20" t="s">
        <v>25</v>
      </c>
      <c r="C85" s="20">
        <v>80</v>
      </c>
      <c r="D85" s="21" t="s">
        <v>67</v>
      </c>
      <c r="E85" s="21" t="s">
        <v>27</v>
      </c>
      <c r="F85" s="20">
        <v>0.5</v>
      </c>
      <c r="G85" s="22">
        <f>C85*F85</f>
        <v>40</v>
      </c>
    </row>
    <row r="86" spans="1:7" ht="15" customHeight="1">
      <c r="A86" s="19" t="s">
        <v>65</v>
      </c>
      <c r="B86" s="20" t="s">
        <v>28</v>
      </c>
      <c r="C86" s="20">
        <v>79</v>
      </c>
      <c r="D86" s="21" t="s">
        <v>62</v>
      </c>
      <c r="E86" s="21" t="s">
        <v>30</v>
      </c>
      <c r="F86" s="20">
        <v>0.1</v>
      </c>
      <c r="G86" s="22">
        <f>C86*F86</f>
        <v>7.9</v>
      </c>
    </row>
    <row r="87" spans="1:7" ht="15" customHeight="1">
      <c r="A87" s="19" t="s">
        <v>65</v>
      </c>
      <c r="B87" s="20" t="s">
        <v>31</v>
      </c>
      <c r="C87" s="20">
        <v>77</v>
      </c>
      <c r="D87" s="21" t="s">
        <v>62</v>
      </c>
      <c r="E87" s="21" t="s">
        <v>30</v>
      </c>
      <c r="F87" s="20">
        <v>0.2</v>
      </c>
      <c r="G87" s="22">
        <f>C87*F87</f>
        <v>15.4</v>
      </c>
    </row>
    <row r="88" spans="1:7" ht="15" customHeight="1">
      <c r="A88" s="19" t="s">
        <v>65</v>
      </c>
      <c r="B88" s="20" t="s">
        <v>33</v>
      </c>
      <c r="C88" s="20">
        <v>82</v>
      </c>
      <c r="D88" s="21" t="s">
        <v>63</v>
      </c>
      <c r="E88" s="21" t="s">
        <v>35</v>
      </c>
      <c r="F88" s="20">
        <v>0.35</v>
      </c>
      <c r="G88" s="22">
        <f>C88*F88</f>
        <v>28.7</v>
      </c>
    </row>
    <row r="89" spans="1:7" ht="15" customHeight="1">
      <c r="A89" s="19" t="s">
        <v>65</v>
      </c>
      <c r="B89" s="20" t="s">
        <v>36</v>
      </c>
      <c r="C89" s="20">
        <v>81</v>
      </c>
      <c r="D89" s="21" t="s">
        <v>59</v>
      </c>
      <c r="E89" s="21" t="s">
        <v>38</v>
      </c>
      <c r="F89" s="20">
        <v>0.35</v>
      </c>
      <c r="G89" s="22">
        <f>C89*F89</f>
        <v>28.349999999999998</v>
      </c>
    </row>
    <row r="90" spans="1:7" ht="15" customHeight="1">
      <c r="A90" s="19" t="s">
        <v>68</v>
      </c>
      <c r="B90" s="20" t="s">
        <v>8</v>
      </c>
      <c r="C90" s="20">
        <v>65</v>
      </c>
      <c r="D90" s="21" t="s">
        <v>40</v>
      </c>
      <c r="E90" s="21" t="s">
        <v>10</v>
      </c>
      <c r="F90" s="20">
        <v>0.15</v>
      </c>
      <c r="G90" s="22">
        <f>C90*F90</f>
        <v>9.75</v>
      </c>
    </row>
    <row r="91" spans="1:7" ht="15" customHeight="1">
      <c r="A91" s="19" t="s">
        <v>68</v>
      </c>
      <c r="B91" s="20" t="s">
        <v>11</v>
      </c>
      <c r="C91" s="20">
        <v>66</v>
      </c>
      <c r="D91" s="21" t="s">
        <v>41</v>
      </c>
      <c r="E91" s="21" t="s">
        <v>13</v>
      </c>
      <c r="F91" s="20">
        <v>0.2</v>
      </c>
      <c r="G91" s="22">
        <f>C91*F91</f>
        <v>13.200000000000001</v>
      </c>
    </row>
    <row r="92" spans="1:7" ht="15" customHeight="1">
      <c r="A92" s="19" t="s">
        <v>68</v>
      </c>
      <c r="B92" s="20" t="s">
        <v>14</v>
      </c>
      <c r="C92" s="20">
        <v>65</v>
      </c>
      <c r="D92" s="21" t="s">
        <v>41</v>
      </c>
      <c r="E92" s="21" t="s">
        <v>13</v>
      </c>
      <c r="F92" s="20">
        <v>0.25</v>
      </c>
      <c r="G92" s="22">
        <f>C92*F92</f>
        <v>16.25</v>
      </c>
    </row>
    <row r="93" spans="1:7" ht="15" customHeight="1">
      <c r="A93" s="19" t="s">
        <v>68</v>
      </c>
      <c r="B93" s="20" t="s">
        <v>16</v>
      </c>
      <c r="C93" s="20">
        <v>65</v>
      </c>
      <c r="D93" s="21" t="s">
        <v>42</v>
      </c>
      <c r="E93" s="21" t="s">
        <v>18</v>
      </c>
      <c r="F93" s="20">
        <v>0.4</v>
      </c>
      <c r="G93" s="22">
        <f>C93*F93</f>
        <v>26</v>
      </c>
    </row>
    <row r="94" spans="1:7" ht="15" customHeight="1">
      <c r="A94" s="19" t="s">
        <v>68</v>
      </c>
      <c r="B94" s="20" t="s">
        <v>19</v>
      </c>
      <c r="C94" s="20">
        <v>73</v>
      </c>
      <c r="D94" s="21" t="s">
        <v>43</v>
      </c>
      <c r="E94" s="21" t="s">
        <v>21</v>
      </c>
      <c r="F94" s="20">
        <v>0.2</v>
      </c>
      <c r="G94" s="22">
        <f>C94*F94</f>
        <v>14.600000000000001</v>
      </c>
    </row>
    <row r="95" spans="1:7" ht="15" customHeight="1">
      <c r="A95" s="19" t="s">
        <v>68</v>
      </c>
      <c r="B95" s="20" t="s">
        <v>22</v>
      </c>
      <c r="C95" s="20">
        <v>67</v>
      </c>
      <c r="D95" s="21" t="s">
        <v>44</v>
      </c>
      <c r="E95" s="21" t="s">
        <v>24</v>
      </c>
      <c r="F95" s="20">
        <v>0.3</v>
      </c>
      <c r="G95" s="22">
        <f>C95*F95</f>
        <v>20.099999999999998</v>
      </c>
    </row>
    <row r="96" spans="1:7" ht="15" customHeight="1">
      <c r="A96" s="19" t="s">
        <v>68</v>
      </c>
      <c r="B96" s="20" t="s">
        <v>25</v>
      </c>
      <c r="C96" s="20">
        <v>68</v>
      </c>
      <c r="D96" s="21" t="s">
        <v>45</v>
      </c>
      <c r="E96" s="21" t="s">
        <v>27</v>
      </c>
      <c r="F96" s="20">
        <v>0.5</v>
      </c>
      <c r="G96" s="22">
        <f>C96*F96</f>
        <v>34</v>
      </c>
    </row>
    <row r="97" spans="1:7" ht="15" customHeight="1">
      <c r="A97" s="19" t="s">
        <v>68</v>
      </c>
      <c r="B97" s="20" t="s">
        <v>28</v>
      </c>
      <c r="C97" s="20">
        <v>66</v>
      </c>
      <c r="D97" s="21" t="s">
        <v>46</v>
      </c>
      <c r="E97" s="21" t="s">
        <v>30</v>
      </c>
      <c r="F97" s="20">
        <v>0.1</v>
      </c>
      <c r="G97" s="22">
        <f>C97*F97</f>
        <v>6.6000000000000005</v>
      </c>
    </row>
    <row r="98" spans="1:7" ht="15" customHeight="1">
      <c r="A98" s="19" t="s">
        <v>68</v>
      </c>
      <c r="B98" s="20" t="s">
        <v>31</v>
      </c>
      <c r="C98" s="20">
        <v>72</v>
      </c>
      <c r="D98" s="21" t="s">
        <v>46</v>
      </c>
      <c r="E98" s="21" t="s">
        <v>30</v>
      </c>
      <c r="F98" s="20">
        <v>0.2</v>
      </c>
      <c r="G98" s="22">
        <f>C98*F98</f>
        <v>14.4</v>
      </c>
    </row>
    <row r="99" spans="1:7" ht="15" customHeight="1">
      <c r="A99" s="19" t="s">
        <v>68</v>
      </c>
      <c r="B99" s="20" t="s">
        <v>33</v>
      </c>
      <c r="C99" s="20">
        <v>72</v>
      </c>
      <c r="D99" s="21" t="s">
        <v>47</v>
      </c>
      <c r="E99" s="21" t="s">
        <v>35</v>
      </c>
      <c r="F99" s="20">
        <v>0.35</v>
      </c>
      <c r="G99" s="22">
        <f>C99*F99</f>
        <v>25.2</v>
      </c>
    </row>
    <row r="100" spans="1:7" ht="15" customHeight="1">
      <c r="A100" s="19" t="s">
        <v>68</v>
      </c>
      <c r="B100" s="20" t="s">
        <v>36</v>
      </c>
      <c r="C100" s="20">
        <v>72</v>
      </c>
      <c r="D100" s="21" t="s">
        <v>51</v>
      </c>
      <c r="E100" s="21" t="s">
        <v>38</v>
      </c>
      <c r="F100" s="20">
        <v>0.35</v>
      </c>
      <c r="G100" s="22">
        <f>C100*F100</f>
        <v>25.2</v>
      </c>
    </row>
    <row r="101" spans="1:7" ht="15" customHeight="1">
      <c r="A101" s="19" t="s">
        <v>69</v>
      </c>
      <c r="B101" s="20" t="s">
        <v>8</v>
      </c>
      <c r="C101" s="20">
        <v>67</v>
      </c>
      <c r="D101" s="21" t="s">
        <v>40</v>
      </c>
      <c r="E101" s="21" t="s">
        <v>10</v>
      </c>
      <c r="F101" s="20">
        <v>0.15</v>
      </c>
      <c r="G101" s="22">
        <f>C101*F101</f>
        <v>10.049999999999999</v>
      </c>
    </row>
    <row r="102" spans="1:7" ht="15" customHeight="1">
      <c r="A102" s="19" t="s">
        <v>69</v>
      </c>
      <c r="B102" s="20" t="s">
        <v>11</v>
      </c>
      <c r="C102" s="20">
        <v>66</v>
      </c>
      <c r="D102" s="21" t="s">
        <v>41</v>
      </c>
      <c r="E102" s="21" t="s">
        <v>13</v>
      </c>
      <c r="F102" s="20">
        <v>0.2</v>
      </c>
      <c r="G102" s="22">
        <f>C102*F102</f>
        <v>13.200000000000001</v>
      </c>
    </row>
    <row r="103" spans="1:7" ht="15" customHeight="1">
      <c r="A103" s="19" t="s">
        <v>69</v>
      </c>
      <c r="B103" s="20" t="s">
        <v>14</v>
      </c>
      <c r="C103" s="20">
        <v>65</v>
      </c>
      <c r="D103" s="21" t="s">
        <v>41</v>
      </c>
      <c r="E103" s="21" t="s">
        <v>13</v>
      </c>
      <c r="F103" s="20">
        <v>0.25</v>
      </c>
      <c r="G103" s="22">
        <f>C103*F103</f>
        <v>16.25</v>
      </c>
    </row>
    <row r="104" spans="1:7" ht="15" customHeight="1">
      <c r="A104" s="19" t="s">
        <v>69</v>
      </c>
      <c r="B104" s="20" t="s">
        <v>16</v>
      </c>
      <c r="C104" s="20">
        <v>69</v>
      </c>
      <c r="D104" s="21" t="s">
        <v>42</v>
      </c>
      <c r="E104" s="21" t="s">
        <v>18</v>
      </c>
      <c r="F104" s="20">
        <v>0.4</v>
      </c>
      <c r="G104" s="22">
        <f>C104*F104</f>
        <v>27.6</v>
      </c>
    </row>
    <row r="105" spans="1:7" ht="15" customHeight="1">
      <c r="A105" s="19" t="s">
        <v>69</v>
      </c>
      <c r="B105" s="20" t="s">
        <v>19</v>
      </c>
      <c r="C105" s="20">
        <v>66</v>
      </c>
      <c r="D105" s="21" t="s">
        <v>43</v>
      </c>
      <c r="E105" s="21" t="s">
        <v>21</v>
      </c>
      <c r="F105" s="20">
        <v>0.2</v>
      </c>
      <c r="G105" s="22">
        <f>C105*F105</f>
        <v>13.200000000000001</v>
      </c>
    </row>
    <row r="106" spans="1:7" ht="15" customHeight="1">
      <c r="A106" s="19" t="s">
        <v>69</v>
      </c>
      <c r="B106" s="20" t="s">
        <v>22</v>
      </c>
      <c r="C106" s="20">
        <v>69</v>
      </c>
      <c r="D106" s="21" t="s">
        <v>44</v>
      </c>
      <c r="E106" s="21" t="s">
        <v>24</v>
      </c>
      <c r="F106" s="20">
        <v>0.3</v>
      </c>
      <c r="G106" s="22">
        <f>C106*F106</f>
        <v>20.7</v>
      </c>
    </row>
    <row r="107" spans="1:7" ht="15" customHeight="1">
      <c r="A107" s="19" t="s">
        <v>69</v>
      </c>
      <c r="B107" s="20" t="s">
        <v>25</v>
      </c>
      <c r="C107" s="20">
        <v>65</v>
      </c>
      <c r="D107" s="21" t="s">
        <v>45</v>
      </c>
      <c r="E107" s="21" t="s">
        <v>27</v>
      </c>
      <c r="F107" s="20">
        <v>0.5</v>
      </c>
      <c r="G107" s="22">
        <f>C107*F107</f>
        <v>32.5</v>
      </c>
    </row>
    <row r="108" spans="1:7" ht="15" customHeight="1">
      <c r="A108" s="19" t="s">
        <v>69</v>
      </c>
      <c r="B108" s="20" t="s">
        <v>28</v>
      </c>
      <c r="C108" s="20">
        <v>67</v>
      </c>
      <c r="D108" s="21" t="s">
        <v>46</v>
      </c>
      <c r="E108" s="21" t="s">
        <v>30</v>
      </c>
      <c r="F108" s="20">
        <v>0.1</v>
      </c>
      <c r="G108" s="22">
        <f>C108*F108</f>
        <v>6.7</v>
      </c>
    </row>
    <row r="109" spans="1:7" ht="15" customHeight="1">
      <c r="A109" s="19" t="s">
        <v>69</v>
      </c>
      <c r="B109" s="20" t="s">
        <v>31</v>
      </c>
      <c r="C109" s="20">
        <v>64</v>
      </c>
      <c r="D109" s="21" t="s">
        <v>29</v>
      </c>
      <c r="E109" s="21" t="s">
        <v>30</v>
      </c>
      <c r="F109" s="20">
        <v>0.2</v>
      </c>
      <c r="G109" s="22">
        <f>C109*F109</f>
        <v>12.8</v>
      </c>
    </row>
    <row r="110" spans="1:7" ht="15" customHeight="1">
      <c r="A110" s="19" t="s">
        <v>69</v>
      </c>
      <c r="B110" s="20" t="s">
        <v>33</v>
      </c>
      <c r="C110" s="20">
        <v>69</v>
      </c>
      <c r="D110" s="21" t="s">
        <v>47</v>
      </c>
      <c r="E110" s="21" t="s">
        <v>35</v>
      </c>
      <c r="F110" s="20">
        <v>0.35</v>
      </c>
      <c r="G110" s="22">
        <f>C110*F110</f>
        <v>24.15</v>
      </c>
    </row>
    <row r="111" spans="1:7" ht="15" customHeight="1">
      <c r="A111" s="19" t="s">
        <v>69</v>
      </c>
      <c r="B111" s="20" t="s">
        <v>36</v>
      </c>
      <c r="C111" s="20">
        <v>64</v>
      </c>
      <c r="D111" s="21" t="s">
        <v>48</v>
      </c>
      <c r="E111" s="21" t="s">
        <v>38</v>
      </c>
      <c r="F111" s="20">
        <v>0.35</v>
      </c>
      <c r="G111" s="22">
        <f>C111*F111</f>
        <v>22.4</v>
      </c>
    </row>
    <row r="112" spans="1:7" ht="15" customHeight="1">
      <c r="A112" s="19" t="s">
        <v>70</v>
      </c>
      <c r="B112" s="20" t="s">
        <v>8</v>
      </c>
      <c r="C112" s="20">
        <v>55</v>
      </c>
      <c r="D112" s="21" t="s">
        <v>9</v>
      </c>
      <c r="E112" s="21" t="s">
        <v>10</v>
      </c>
      <c r="F112" s="20">
        <v>0.15</v>
      </c>
      <c r="G112" s="22">
        <f>C112*F112</f>
        <v>8.25</v>
      </c>
    </row>
    <row r="113" spans="1:7" ht="15" customHeight="1">
      <c r="A113" s="19" t="s">
        <v>70</v>
      </c>
      <c r="B113" s="20" t="s">
        <v>11</v>
      </c>
      <c r="C113" s="20">
        <v>54</v>
      </c>
      <c r="D113" s="21" t="s">
        <v>15</v>
      </c>
      <c r="E113" s="21" t="s">
        <v>13</v>
      </c>
      <c r="F113" s="20">
        <v>0.2</v>
      </c>
      <c r="G113" s="22">
        <f>C113*F113</f>
        <v>10.8</v>
      </c>
    </row>
    <row r="114" spans="1:7" ht="15" customHeight="1">
      <c r="A114" s="19" t="s">
        <v>70</v>
      </c>
      <c r="B114" s="20" t="s">
        <v>14</v>
      </c>
      <c r="C114" s="20">
        <v>52</v>
      </c>
      <c r="D114" s="21" t="s">
        <v>15</v>
      </c>
      <c r="E114" s="21" t="s">
        <v>13</v>
      </c>
      <c r="F114" s="20">
        <v>0.25</v>
      </c>
      <c r="G114" s="22">
        <f>C114*F114</f>
        <v>13</v>
      </c>
    </row>
    <row r="115" spans="1:7" ht="15" customHeight="1">
      <c r="A115" s="19" t="s">
        <v>70</v>
      </c>
      <c r="B115" s="20" t="s">
        <v>16</v>
      </c>
      <c r="C115" s="20">
        <v>50</v>
      </c>
      <c r="D115" s="21" t="s">
        <v>17</v>
      </c>
      <c r="E115" s="21" t="s">
        <v>18</v>
      </c>
      <c r="F115" s="20">
        <v>0.4</v>
      </c>
      <c r="G115" s="22">
        <f>C115*F115</f>
        <v>20</v>
      </c>
    </row>
    <row r="116" spans="1:7" ht="15" customHeight="1">
      <c r="A116" s="19" t="s">
        <v>70</v>
      </c>
      <c r="B116" s="20" t="s">
        <v>19</v>
      </c>
      <c r="C116" s="20">
        <v>57</v>
      </c>
      <c r="D116" s="21" t="s">
        <v>20</v>
      </c>
      <c r="E116" s="21" t="s">
        <v>21</v>
      </c>
      <c r="F116" s="20">
        <v>0.2</v>
      </c>
      <c r="G116" s="22">
        <f>C116*F116</f>
        <v>11.4</v>
      </c>
    </row>
    <row r="117" spans="1:7" ht="15" customHeight="1">
      <c r="A117" s="19" t="s">
        <v>70</v>
      </c>
      <c r="B117" s="20" t="s">
        <v>22</v>
      </c>
      <c r="C117" s="20">
        <v>56</v>
      </c>
      <c r="D117" s="21" t="s">
        <v>23</v>
      </c>
      <c r="E117" s="21" t="s">
        <v>24</v>
      </c>
      <c r="F117" s="20">
        <v>0.3</v>
      </c>
      <c r="G117" s="22">
        <f>C117*F117</f>
        <v>16.8</v>
      </c>
    </row>
    <row r="118" spans="1:7" ht="15" customHeight="1">
      <c r="A118" s="19" t="s">
        <v>70</v>
      </c>
      <c r="B118" s="20" t="s">
        <v>25</v>
      </c>
      <c r="C118" s="20">
        <v>55</v>
      </c>
      <c r="D118" s="21" t="s">
        <v>50</v>
      </c>
      <c r="E118" s="21" t="s">
        <v>27</v>
      </c>
      <c r="F118" s="20">
        <v>0.5</v>
      </c>
      <c r="G118" s="22">
        <f>C118*F118</f>
        <v>27.5</v>
      </c>
    </row>
    <row r="119" spans="1:7" ht="15" customHeight="1">
      <c r="A119" s="19" t="s">
        <v>70</v>
      </c>
      <c r="B119" s="20" t="s">
        <v>28</v>
      </c>
      <c r="C119" s="20">
        <v>56</v>
      </c>
      <c r="D119" s="21" t="s">
        <v>29</v>
      </c>
      <c r="E119" s="21" t="s">
        <v>30</v>
      </c>
      <c r="F119" s="20">
        <v>0.1</v>
      </c>
      <c r="G119" s="22">
        <f>C119*F119</f>
        <v>5.6000000000000005</v>
      </c>
    </row>
    <row r="120" spans="1:7" ht="15" customHeight="1">
      <c r="A120" s="19" t="s">
        <v>70</v>
      </c>
      <c r="B120" s="20" t="s">
        <v>31</v>
      </c>
      <c r="C120" s="20">
        <v>55</v>
      </c>
      <c r="D120" s="21" t="s">
        <v>29</v>
      </c>
      <c r="E120" s="21" t="s">
        <v>30</v>
      </c>
      <c r="F120" s="20">
        <v>0.2</v>
      </c>
      <c r="G120" s="22">
        <f>C120*F120</f>
        <v>11</v>
      </c>
    </row>
    <row r="121" spans="1:7" ht="15" customHeight="1">
      <c r="A121" s="19" t="s">
        <v>70</v>
      </c>
      <c r="B121" s="20" t="s">
        <v>33</v>
      </c>
      <c r="C121" s="20">
        <v>58</v>
      </c>
      <c r="D121" s="21" t="s">
        <v>34</v>
      </c>
      <c r="E121" s="21" t="s">
        <v>35</v>
      </c>
      <c r="F121" s="20">
        <v>0.35</v>
      </c>
      <c r="G121" s="22">
        <f>C121*F121</f>
        <v>20.299999999999997</v>
      </c>
    </row>
    <row r="122" spans="1:7" ht="15" customHeight="1">
      <c r="A122" s="19" t="s">
        <v>70</v>
      </c>
      <c r="B122" s="20" t="s">
        <v>36</v>
      </c>
      <c r="C122" s="20">
        <v>54</v>
      </c>
      <c r="D122" s="21" t="s">
        <v>48</v>
      </c>
      <c r="E122" s="21" t="s">
        <v>38</v>
      </c>
      <c r="F122" s="20">
        <v>0.35</v>
      </c>
      <c r="G122" s="22">
        <f>C122*F122</f>
        <v>18.899999999999999</v>
      </c>
    </row>
    <row r="123" spans="1:7" ht="15" customHeight="1">
      <c r="A123" s="19" t="s">
        <v>71</v>
      </c>
      <c r="B123" s="20" t="s">
        <v>8</v>
      </c>
      <c r="C123" s="20">
        <v>61</v>
      </c>
      <c r="D123" s="21" t="s">
        <v>9</v>
      </c>
      <c r="E123" s="21" t="s">
        <v>10</v>
      </c>
      <c r="F123" s="20">
        <v>0.15</v>
      </c>
      <c r="G123" s="22">
        <f>C123*F123</f>
        <v>9.15</v>
      </c>
    </row>
    <row r="124" spans="1:7" ht="15" customHeight="1">
      <c r="A124" s="19" t="s">
        <v>71</v>
      </c>
      <c r="B124" s="20" t="s">
        <v>11</v>
      </c>
      <c r="C124" s="20">
        <v>64</v>
      </c>
      <c r="D124" s="21" t="s">
        <v>15</v>
      </c>
      <c r="E124" s="21" t="s">
        <v>13</v>
      </c>
      <c r="F124" s="20">
        <v>0.2</v>
      </c>
      <c r="G124" s="22">
        <f>C124*F124</f>
        <v>12.8</v>
      </c>
    </row>
    <row r="125" spans="1:7" ht="15" customHeight="1">
      <c r="A125" s="19" t="s">
        <v>71</v>
      </c>
      <c r="B125" s="20" t="s">
        <v>14</v>
      </c>
      <c r="C125" s="20">
        <v>61</v>
      </c>
      <c r="D125" s="21" t="s">
        <v>15</v>
      </c>
      <c r="E125" s="21" t="s">
        <v>13</v>
      </c>
      <c r="F125" s="20">
        <v>0.25</v>
      </c>
      <c r="G125" s="22">
        <f>C125*F125</f>
        <v>15.25</v>
      </c>
    </row>
    <row r="126" spans="1:7" ht="15" customHeight="1">
      <c r="A126" s="19" t="s">
        <v>71</v>
      </c>
      <c r="B126" s="20" t="s">
        <v>16</v>
      </c>
      <c r="C126" s="20">
        <v>66</v>
      </c>
      <c r="D126" s="21" t="s">
        <v>42</v>
      </c>
      <c r="E126" s="21" t="s">
        <v>18</v>
      </c>
      <c r="F126" s="20">
        <v>0.4</v>
      </c>
      <c r="G126" s="22">
        <f>C126*F126</f>
        <v>26.400000000000002</v>
      </c>
    </row>
    <row r="127" spans="1:7" ht="15" customHeight="1">
      <c r="A127" s="19" t="s">
        <v>71</v>
      </c>
      <c r="B127" s="20" t="s">
        <v>19</v>
      </c>
      <c r="C127" s="20">
        <v>67</v>
      </c>
      <c r="D127" s="21" t="s">
        <v>43</v>
      </c>
      <c r="E127" s="21" t="s">
        <v>21</v>
      </c>
      <c r="F127" s="20">
        <v>0.2</v>
      </c>
      <c r="G127" s="22">
        <f>C127*F127</f>
        <v>13.4</v>
      </c>
    </row>
    <row r="128" spans="1:7" ht="15" customHeight="1">
      <c r="A128" s="19" t="s">
        <v>71</v>
      </c>
      <c r="B128" s="20" t="s">
        <v>22</v>
      </c>
      <c r="C128" s="20">
        <v>71</v>
      </c>
      <c r="D128" s="21" t="s">
        <v>44</v>
      </c>
      <c r="E128" s="21" t="s">
        <v>24</v>
      </c>
      <c r="F128" s="20">
        <v>0.3</v>
      </c>
      <c r="G128" s="22">
        <f>C128*F128</f>
        <v>21.3</v>
      </c>
    </row>
    <row r="129" spans="1:7" ht="15" customHeight="1">
      <c r="A129" s="19" t="s">
        <v>71</v>
      </c>
      <c r="B129" s="20" t="s">
        <v>25</v>
      </c>
      <c r="C129" s="20">
        <v>71</v>
      </c>
      <c r="D129" s="21" t="s">
        <v>45</v>
      </c>
      <c r="E129" s="21" t="s">
        <v>27</v>
      </c>
      <c r="F129" s="20">
        <v>0.5</v>
      </c>
      <c r="G129" s="22">
        <f>C129*F129</f>
        <v>35.5</v>
      </c>
    </row>
    <row r="130" spans="1:7" ht="15" customHeight="1">
      <c r="A130" s="19" t="s">
        <v>71</v>
      </c>
      <c r="B130" s="20" t="s">
        <v>28</v>
      </c>
      <c r="C130" s="20">
        <v>65</v>
      </c>
      <c r="D130" s="21" t="s">
        <v>46</v>
      </c>
      <c r="E130" s="21" t="s">
        <v>30</v>
      </c>
      <c r="F130" s="20">
        <v>0.1</v>
      </c>
      <c r="G130" s="22">
        <f>C130*F130</f>
        <v>6.5</v>
      </c>
    </row>
    <row r="131" spans="1:7" ht="15" customHeight="1">
      <c r="A131" s="19" t="s">
        <v>71</v>
      </c>
      <c r="B131" s="20" t="s">
        <v>31</v>
      </c>
      <c r="C131" s="20">
        <v>61</v>
      </c>
      <c r="D131" s="21" t="s">
        <v>29</v>
      </c>
      <c r="E131" s="21" t="s">
        <v>30</v>
      </c>
      <c r="F131" s="20">
        <v>0.2</v>
      </c>
      <c r="G131" s="22">
        <f>C131*F131</f>
        <v>12.200000000000001</v>
      </c>
    </row>
    <row r="132" spans="1:7" ht="15" customHeight="1">
      <c r="A132" s="19" t="s">
        <v>71</v>
      </c>
      <c r="B132" s="20" t="s">
        <v>33</v>
      </c>
      <c r="C132" s="20">
        <v>62</v>
      </c>
      <c r="D132" s="21" t="s">
        <v>34</v>
      </c>
      <c r="E132" s="21" t="s">
        <v>35</v>
      </c>
      <c r="F132" s="20">
        <v>0.35</v>
      </c>
      <c r="G132" s="22">
        <f>C132*F132</f>
        <v>21.7</v>
      </c>
    </row>
    <row r="133" spans="1:7" ht="15" customHeight="1">
      <c r="A133" s="19" t="s">
        <v>71</v>
      </c>
      <c r="B133" s="20" t="s">
        <v>36</v>
      </c>
      <c r="C133" s="20">
        <v>61</v>
      </c>
      <c r="D133" s="21" t="s">
        <v>48</v>
      </c>
      <c r="E133" s="21" t="s">
        <v>38</v>
      </c>
      <c r="F133" s="20">
        <v>0.35</v>
      </c>
      <c r="G133" s="22">
        <f>C133*F133</f>
        <v>21.349999999999998</v>
      </c>
    </row>
    <row r="134" spans="1:7" ht="15" customHeight="1">
      <c r="A134" s="19" t="s">
        <v>72</v>
      </c>
      <c r="B134" s="20" t="s">
        <v>8</v>
      </c>
      <c r="C134" s="20">
        <v>65</v>
      </c>
      <c r="D134" s="21" t="s">
        <v>40</v>
      </c>
      <c r="E134" s="21" t="s">
        <v>10</v>
      </c>
      <c r="F134" s="20">
        <v>0.15</v>
      </c>
      <c r="G134" s="22">
        <f>C134*F134</f>
        <v>9.75</v>
      </c>
    </row>
    <row r="135" spans="1:7" ht="15" customHeight="1">
      <c r="A135" s="19" t="s">
        <v>72</v>
      </c>
      <c r="B135" s="20" t="s">
        <v>11</v>
      </c>
      <c r="C135" s="20">
        <v>67</v>
      </c>
      <c r="D135" s="21" t="s">
        <v>41</v>
      </c>
      <c r="E135" s="21" t="s">
        <v>13</v>
      </c>
      <c r="F135" s="20">
        <v>0.2</v>
      </c>
      <c r="G135" s="22">
        <f>C135*F135</f>
        <v>13.4</v>
      </c>
    </row>
    <row r="136" spans="1:7" ht="15" customHeight="1">
      <c r="A136" s="19" t="s">
        <v>72</v>
      </c>
      <c r="B136" s="20" t="s">
        <v>14</v>
      </c>
      <c r="C136" s="20">
        <v>70</v>
      </c>
      <c r="D136" s="21" t="s">
        <v>41</v>
      </c>
      <c r="E136" s="21" t="s">
        <v>13</v>
      </c>
      <c r="F136" s="20">
        <v>0.25</v>
      </c>
      <c r="G136" s="22">
        <f>C136*F136</f>
        <v>17.5</v>
      </c>
    </row>
    <row r="137" spans="1:7" ht="15" customHeight="1">
      <c r="A137" s="19" t="s">
        <v>72</v>
      </c>
      <c r="B137" s="20" t="s">
        <v>16</v>
      </c>
      <c r="C137" s="20">
        <v>67</v>
      </c>
      <c r="D137" s="21" t="s">
        <v>42</v>
      </c>
      <c r="E137" s="21" t="s">
        <v>18</v>
      </c>
      <c r="F137" s="20">
        <v>0.4</v>
      </c>
      <c r="G137" s="22">
        <f>C137*F137</f>
        <v>26.8</v>
      </c>
    </row>
    <row r="138" spans="1:7" ht="15" customHeight="1">
      <c r="A138" s="19" t="s">
        <v>72</v>
      </c>
      <c r="B138" s="20" t="s">
        <v>19</v>
      </c>
      <c r="C138" s="20">
        <v>59</v>
      </c>
      <c r="D138" s="21" t="s">
        <v>20</v>
      </c>
      <c r="E138" s="21" t="s">
        <v>21</v>
      </c>
      <c r="F138" s="20">
        <v>0.2</v>
      </c>
      <c r="G138" s="22">
        <f>C138*F138</f>
        <v>11.8</v>
      </c>
    </row>
    <row r="139" spans="1:7" ht="15" customHeight="1">
      <c r="A139" s="19" t="s">
        <v>72</v>
      </c>
      <c r="B139" s="20" t="s">
        <v>22</v>
      </c>
      <c r="C139" s="20">
        <v>62</v>
      </c>
      <c r="D139" s="21" t="s">
        <v>23</v>
      </c>
      <c r="E139" s="21" t="s">
        <v>24</v>
      </c>
      <c r="F139" s="20">
        <v>0.3</v>
      </c>
      <c r="G139" s="22">
        <f>C139*F139</f>
        <v>18.599999999999998</v>
      </c>
    </row>
    <row r="140" spans="1:7" ht="15" customHeight="1">
      <c r="A140" s="19" t="s">
        <v>72</v>
      </c>
      <c r="B140" s="20" t="s">
        <v>25</v>
      </c>
      <c r="C140" s="20">
        <v>63</v>
      </c>
      <c r="D140" s="21" t="s">
        <v>50</v>
      </c>
      <c r="E140" s="21" t="s">
        <v>27</v>
      </c>
      <c r="F140" s="20">
        <v>0.5</v>
      </c>
      <c r="G140" s="22">
        <f>C140*F140</f>
        <v>31.5</v>
      </c>
    </row>
    <row r="141" spans="1:7" ht="15" customHeight="1">
      <c r="A141" s="19" t="s">
        <v>72</v>
      </c>
      <c r="B141" s="20" t="s">
        <v>28</v>
      </c>
      <c r="C141" s="20">
        <v>58</v>
      </c>
      <c r="D141" s="21" t="s">
        <v>29</v>
      </c>
      <c r="E141" s="21" t="s">
        <v>30</v>
      </c>
      <c r="F141" s="20">
        <v>0.1</v>
      </c>
      <c r="G141" s="22">
        <f>C141*F141</f>
        <v>5.8000000000000007</v>
      </c>
    </row>
    <row r="142" spans="1:7" ht="15" customHeight="1">
      <c r="A142" s="19" t="s">
        <v>72</v>
      </c>
      <c r="B142" s="20" t="s">
        <v>31</v>
      </c>
      <c r="C142" s="20">
        <v>58</v>
      </c>
      <c r="D142" s="21" t="s">
        <v>29</v>
      </c>
      <c r="E142" s="21" t="s">
        <v>30</v>
      </c>
      <c r="F142" s="20">
        <v>0.2</v>
      </c>
      <c r="G142" s="22">
        <f>C142*F142</f>
        <v>11.600000000000001</v>
      </c>
    </row>
    <row r="143" spans="1:7" ht="15" customHeight="1">
      <c r="A143" s="19" t="s">
        <v>72</v>
      </c>
      <c r="B143" s="20" t="s">
        <v>33</v>
      </c>
      <c r="C143" s="20">
        <v>58</v>
      </c>
      <c r="D143" s="21" t="s">
        <v>34</v>
      </c>
      <c r="E143" s="21" t="s">
        <v>35</v>
      </c>
      <c r="F143" s="20">
        <v>0.35</v>
      </c>
      <c r="G143" s="22">
        <f>C143*F143</f>
        <v>20.299999999999997</v>
      </c>
    </row>
    <row r="144" spans="1:7" ht="15" customHeight="1">
      <c r="A144" s="19" t="s">
        <v>72</v>
      </c>
      <c r="B144" s="20" t="s">
        <v>36</v>
      </c>
      <c r="C144" s="20">
        <v>62</v>
      </c>
      <c r="D144" s="21" t="s">
        <v>48</v>
      </c>
      <c r="E144" s="21" t="s">
        <v>38</v>
      </c>
      <c r="F144" s="20">
        <v>0.35</v>
      </c>
      <c r="G144" s="22">
        <f>C144*F144</f>
        <v>21.7</v>
      </c>
    </row>
    <row r="145" spans="1:7" ht="15" customHeight="1">
      <c r="A145" s="19" t="s">
        <v>73</v>
      </c>
      <c r="B145" s="20" t="s">
        <v>8</v>
      </c>
      <c r="C145" s="20">
        <v>85</v>
      </c>
      <c r="D145" s="21" t="s">
        <v>74</v>
      </c>
      <c r="E145" s="21" t="s">
        <v>10</v>
      </c>
      <c r="F145" s="20">
        <v>0.15</v>
      </c>
      <c r="G145" s="22">
        <f>C145*F145</f>
        <v>12.75</v>
      </c>
    </row>
    <row r="146" spans="1:7" ht="15" customHeight="1">
      <c r="A146" s="19" t="s">
        <v>73</v>
      </c>
      <c r="B146" s="20" t="s">
        <v>11</v>
      </c>
      <c r="C146" s="20">
        <v>85</v>
      </c>
      <c r="D146" s="21" t="s">
        <v>75</v>
      </c>
      <c r="E146" s="21" t="s">
        <v>13</v>
      </c>
      <c r="F146" s="20">
        <v>0.2</v>
      </c>
      <c r="G146" s="22">
        <f>C146*F146</f>
        <v>17</v>
      </c>
    </row>
    <row r="147" spans="1:7" ht="15" customHeight="1">
      <c r="A147" s="19" t="s">
        <v>73</v>
      </c>
      <c r="B147" s="20" t="s">
        <v>14</v>
      </c>
      <c r="C147" s="20">
        <v>87</v>
      </c>
      <c r="D147" s="21" t="s">
        <v>75</v>
      </c>
      <c r="E147" s="21" t="s">
        <v>13</v>
      </c>
      <c r="F147" s="20">
        <v>0.25</v>
      </c>
      <c r="G147" s="22">
        <f>C147*F147</f>
        <v>21.75</v>
      </c>
    </row>
    <row r="148" spans="1:7" ht="15" customHeight="1">
      <c r="A148" s="19" t="s">
        <v>73</v>
      </c>
      <c r="B148" s="20" t="s">
        <v>16</v>
      </c>
      <c r="C148" s="20">
        <v>85</v>
      </c>
      <c r="D148" s="21" t="s">
        <v>76</v>
      </c>
      <c r="E148" s="21" t="s">
        <v>18</v>
      </c>
      <c r="F148" s="20">
        <v>0.4</v>
      </c>
      <c r="G148" s="22">
        <f>C148*F148</f>
        <v>34</v>
      </c>
    </row>
    <row r="149" spans="1:7" ht="15" customHeight="1">
      <c r="A149" s="19" t="s">
        <v>73</v>
      </c>
      <c r="B149" s="20" t="s">
        <v>19</v>
      </c>
      <c r="C149" s="20">
        <v>79</v>
      </c>
      <c r="D149" s="21" t="s">
        <v>66</v>
      </c>
      <c r="E149" s="21" t="s">
        <v>21</v>
      </c>
      <c r="F149" s="20">
        <v>0.2</v>
      </c>
      <c r="G149" s="22">
        <f>C149*F149</f>
        <v>15.8</v>
      </c>
    </row>
    <row r="150" spans="1:7" ht="15" customHeight="1">
      <c r="A150" s="19" t="s">
        <v>73</v>
      </c>
      <c r="B150" s="20" t="s">
        <v>22</v>
      </c>
      <c r="C150" s="20">
        <v>77</v>
      </c>
      <c r="D150" s="21" t="s">
        <v>58</v>
      </c>
      <c r="E150" s="21" t="s">
        <v>24</v>
      </c>
      <c r="F150" s="20">
        <v>0.3</v>
      </c>
      <c r="G150" s="22">
        <f>C150*F150</f>
        <v>23.099999999999998</v>
      </c>
    </row>
    <row r="151" spans="1:7" ht="15" customHeight="1">
      <c r="A151" s="19" t="s">
        <v>73</v>
      </c>
      <c r="B151" s="20" t="s">
        <v>25</v>
      </c>
      <c r="C151" s="20">
        <v>77</v>
      </c>
      <c r="D151" s="21" t="s">
        <v>67</v>
      </c>
      <c r="E151" s="21" t="s">
        <v>27</v>
      </c>
      <c r="F151" s="20">
        <v>0.5</v>
      </c>
      <c r="G151" s="22">
        <f>C151*F151</f>
        <v>38.5</v>
      </c>
    </row>
    <row r="152" spans="1:7" ht="15" customHeight="1">
      <c r="A152" s="19" t="s">
        <v>73</v>
      </c>
      <c r="B152" s="20" t="s">
        <v>28</v>
      </c>
      <c r="C152" s="20">
        <v>77</v>
      </c>
      <c r="D152" s="21" t="s">
        <v>62</v>
      </c>
      <c r="E152" s="21" t="s">
        <v>30</v>
      </c>
      <c r="F152" s="20">
        <v>0.1</v>
      </c>
      <c r="G152" s="22">
        <f>C152*F152</f>
        <v>7.7</v>
      </c>
    </row>
    <row r="153" spans="1:7" ht="15" customHeight="1">
      <c r="A153" s="19" t="s">
        <v>73</v>
      </c>
      <c r="B153" s="20" t="s">
        <v>31</v>
      </c>
      <c r="C153" s="20">
        <v>79</v>
      </c>
      <c r="D153" s="21" t="s">
        <v>62</v>
      </c>
      <c r="E153" s="21" t="s">
        <v>30</v>
      </c>
      <c r="F153" s="20">
        <v>0.2</v>
      </c>
      <c r="G153" s="22">
        <f>C153*F153</f>
        <v>15.8</v>
      </c>
    </row>
    <row r="154" spans="1:7" ht="15" customHeight="1">
      <c r="A154" s="19" t="s">
        <v>73</v>
      </c>
      <c r="B154" s="20" t="s">
        <v>33</v>
      </c>
      <c r="C154" s="20">
        <v>82</v>
      </c>
      <c r="D154" s="21" t="s">
        <v>63</v>
      </c>
      <c r="E154" s="21" t="s">
        <v>35</v>
      </c>
      <c r="F154" s="20">
        <v>0.35</v>
      </c>
      <c r="G154" s="22">
        <f>C154*F154</f>
        <v>28.7</v>
      </c>
    </row>
    <row r="155" spans="1:7" ht="15" customHeight="1">
      <c r="A155" s="19" t="s">
        <v>73</v>
      </c>
      <c r="B155" s="20" t="s">
        <v>36</v>
      </c>
      <c r="C155" s="20">
        <v>79</v>
      </c>
      <c r="D155" s="21" t="s">
        <v>59</v>
      </c>
      <c r="E155" s="21" t="s">
        <v>38</v>
      </c>
      <c r="F155" s="20">
        <v>0.35</v>
      </c>
      <c r="G155" s="22">
        <f>C155*F155</f>
        <v>27.65</v>
      </c>
    </row>
    <row r="156" spans="1:7" ht="15" customHeight="1">
      <c r="A156" s="19" t="s">
        <v>77</v>
      </c>
      <c r="B156" s="20" t="s">
        <v>8</v>
      </c>
      <c r="C156" s="20">
        <v>51</v>
      </c>
      <c r="D156" s="21" t="s">
        <v>9</v>
      </c>
      <c r="E156" s="21" t="s">
        <v>10</v>
      </c>
      <c r="F156" s="20">
        <v>0.15</v>
      </c>
      <c r="G156" s="22">
        <f>C156*F156</f>
        <v>7.6499999999999995</v>
      </c>
    </row>
    <row r="157" spans="1:7" ht="15" customHeight="1">
      <c r="A157" s="19" t="s">
        <v>77</v>
      </c>
      <c r="B157" s="20" t="s">
        <v>11</v>
      </c>
      <c r="C157" s="20">
        <v>56</v>
      </c>
      <c r="D157" s="21" t="s">
        <v>15</v>
      </c>
      <c r="E157" s="21" t="s">
        <v>13</v>
      </c>
      <c r="F157" s="20">
        <v>0.2</v>
      </c>
      <c r="G157" s="22">
        <f>C157*F157</f>
        <v>11.200000000000001</v>
      </c>
    </row>
    <row r="158" spans="1:7" ht="15" customHeight="1">
      <c r="A158" s="19" t="s">
        <v>77</v>
      </c>
      <c r="B158" s="20" t="s">
        <v>14</v>
      </c>
      <c r="C158" s="20">
        <v>52</v>
      </c>
      <c r="D158" s="21" t="s">
        <v>15</v>
      </c>
      <c r="E158" s="21" t="s">
        <v>13</v>
      </c>
      <c r="F158" s="20">
        <v>0.25</v>
      </c>
      <c r="G158" s="22">
        <f>C158*F158</f>
        <v>13</v>
      </c>
    </row>
    <row r="159" spans="1:7" ht="15" customHeight="1">
      <c r="A159" s="19" t="s">
        <v>77</v>
      </c>
      <c r="B159" s="20" t="s">
        <v>16</v>
      </c>
      <c r="C159" s="20">
        <v>51</v>
      </c>
      <c r="D159" s="21" t="s">
        <v>17</v>
      </c>
      <c r="E159" s="21" t="s">
        <v>18</v>
      </c>
      <c r="F159" s="20">
        <v>0.4</v>
      </c>
      <c r="G159" s="22">
        <f>C159*F159</f>
        <v>20.400000000000002</v>
      </c>
    </row>
    <row r="160" spans="1:7" ht="15" customHeight="1">
      <c r="A160" s="19" t="s">
        <v>77</v>
      </c>
      <c r="B160" s="20" t="s">
        <v>19</v>
      </c>
      <c r="C160" s="20">
        <v>59</v>
      </c>
      <c r="D160" s="21" t="s">
        <v>20</v>
      </c>
      <c r="E160" s="21" t="s">
        <v>21</v>
      </c>
      <c r="F160" s="20">
        <v>0.2</v>
      </c>
      <c r="G160" s="22">
        <f>C160*F160</f>
        <v>11.8</v>
      </c>
    </row>
    <row r="161" spans="1:7" ht="15" customHeight="1">
      <c r="A161" s="19" t="s">
        <v>77</v>
      </c>
      <c r="B161" s="20" t="s">
        <v>22</v>
      </c>
      <c r="C161" s="20">
        <v>58</v>
      </c>
      <c r="D161" s="21" t="s">
        <v>23</v>
      </c>
      <c r="E161" s="21" t="s">
        <v>24</v>
      </c>
      <c r="F161" s="20">
        <v>0.3</v>
      </c>
      <c r="G161" s="22">
        <f>C161*F161</f>
        <v>17.399999999999999</v>
      </c>
    </row>
    <row r="162" spans="1:7" ht="15" customHeight="1">
      <c r="A162" s="19" t="s">
        <v>77</v>
      </c>
      <c r="B162" s="20" t="s">
        <v>25</v>
      </c>
      <c r="C162" s="20">
        <v>56</v>
      </c>
      <c r="D162" s="21" t="s">
        <v>50</v>
      </c>
      <c r="E162" s="21" t="s">
        <v>27</v>
      </c>
      <c r="F162" s="20">
        <v>0.5</v>
      </c>
      <c r="G162" s="22">
        <f>C162*F162</f>
        <v>28</v>
      </c>
    </row>
    <row r="163" spans="1:7" ht="15" customHeight="1">
      <c r="A163" s="19" t="s">
        <v>77</v>
      </c>
      <c r="B163" s="20" t="s">
        <v>28</v>
      </c>
      <c r="C163" s="20">
        <v>57</v>
      </c>
      <c r="D163" s="21" t="s">
        <v>29</v>
      </c>
      <c r="E163" s="21" t="s">
        <v>30</v>
      </c>
      <c r="F163" s="20">
        <v>0.1</v>
      </c>
      <c r="G163" s="22">
        <f>C163*F163</f>
        <v>5.7</v>
      </c>
    </row>
    <row r="164" spans="1:7" ht="15" customHeight="1">
      <c r="A164" s="19" t="s">
        <v>77</v>
      </c>
      <c r="B164" s="20" t="s">
        <v>31</v>
      </c>
      <c r="C164" s="20">
        <v>54</v>
      </c>
      <c r="D164" s="21" t="s">
        <v>29</v>
      </c>
      <c r="E164" s="21" t="s">
        <v>30</v>
      </c>
      <c r="F164" s="20">
        <v>0.2</v>
      </c>
      <c r="G164" s="22">
        <f>C164*F164</f>
        <v>10.8</v>
      </c>
    </row>
    <row r="165" spans="1:7" ht="15" customHeight="1">
      <c r="A165" s="19" t="s">
        <v>77</v>
      </c>
      <c r="B165" s="20" t="s">
        <v>33</v>
      </c>
      <c r="C165" s="20">
        <v>54</v>
      </c>
      <c r="D165" s="21" t="s">
        <v>34</v>
      </c>
      <c r="E165" s="21" t="s">
        <v>35</v>
      </c>
      <c r="F165" s="20">
        <v>0.35</v>
      </c>
      <c r="G165" s="22">
        <f>C165*F165</f>
        <v>18.899999999999999</v>
      </c>
    </row>
    <row r="166" spans="1:7" ht="15" customHeight="1">
      <c r="A166" s="19" t="s">
        <v>77</v>
      </c>
      <c r="B166" s="20" t="s">
        <v>36</v>
      </c>
      <c r="C166" s="20">
        <v>55</v>
      </c>
      <c r="D166" s="21" t="s">
        <v>48</v>
      </c>
      <c r="E166" s="21" t="s">
        <v>38</v>
      </c>
      <c r="F166" s="20">
        <v>0.35</v>
      </c>
      <c r="G166" s="22">
        <f>C166*F166</f>
        <v>19.25</v>
      </c>
    </row>
    <row r="167" spans="1:7" ht="15" customHeight="1">
      <c r="A167" s="19" t="s">
        <v>78</v>
      </c>
      <c r="B167" s="20" t="s">
        <v>8</v>
      </c>
      <c r="C167" s="20">
        <v>63</v>
      </c>
      <c r="D167" s="21" t="s">
        <v>9</v>
      </c>
      <c r="E167" s="21" t="s">
        <v>10</v>
      </c>
      <c r="F167" s="20">
        <v>0.15</v>
      </c>
      <c r="G167" s="22">
        <f>C167*F167</f>
        <v>9.4499999999999993</v>
      </c>
    </row>
    <row r="168" spans="1:7" ht="15" customHeight="1">
      <c r="A168" s="19" t="s">
        <v>78</v>
      </c>
      <c r="B168" s="20" t="s">
        <v>11</v>
      </c>
      <c r="C168" s="20">
        <v>63</v>
      </c>
      <c r="D168" s="21" t="s">
        <v>15</v>
      </c>
      <c r="E168" s="21" t="s">
        <v>13</v>
      </c>
      <c r="F168" s="20">
        <v>0.2</v>
      </c>
      <c r="G168" s="22">
        <f>C168*F168</f>
        <v>12.600000000000001</v>
      </c>
    </row>
    <row r="169" spans="1:7" ht="15" customHeight="1">
      <c r="A169" s="19" t="s">
        <v>78</v>
      </c>
      <c r="B169" s="20" t="s">
        <v>14</v>
      </c>
      <c r="C169" s="20">
        <v>65</v>
      </c>
      <c r="D169" s="21" t="s">
        <v>41</v>
      </c>
      <c r="E169" s="21" t="s">
        <v>13</v>
      </c>
      <c r="F169" s="20">
        <v>0.25</v>
      </c>
      <c r="G169" s="22">
        <f>C169*F169</f>
        <v>16.25</v>
      </c>
    </row>
    <row r="170" spans="1:7" ht="15" customHeight="1">
      <c r="A170" s="19" t="s">
        <v>78</v>
      </c>
      <c r="B170" s="20" t="s">
        <v>16</v>
      </c>
      <c r="C170" s="20">
        <v>62</v>
      </c>
      <c r="D170" s="21" t="s">
        <v>17</v>
      </c>
      <c r="E170" s="21" t="s">
        <v>18</v>
      </c>
      <c r="F170" s="20">
        <v>0.4</v>
      </c>
      <c r="G170" s="22">
        <f>C170*F170</f>
        <v>24.8</v>
      </c>
    </row>
    <row r="171" spans="1:7" ht="15" customHeight="1">
      <c r="A171" s="19" t="s">
        <v>78</v>
      </c>
      <c r="B171" s="20" t="s">
        <v>19</v>
      </c>
      <c r="C171" s="20">
        <v>67</v>
      </c>
      <c r="D171" s="21" t="s">
        <v>43</v>
      </c>
      <c r="E171" s="21" t="s">
        <v>21</v>
      </c>
      <c r="F171" s="20">
        <v>0.2</v>
      </c>
      <c r="G171" s="22">
        <f>C171*F171</f>
        <v>13.4</v>
      </c>
    </row>
    <row r="172" spans="1:7" ht="15" customHeight="1">
      <c r="A172" s="19" t="s">
        <v>78</v>
      </c>
      <c r="B172" s="20" t="s">
        <v>22</v>
      </c>
      <c r="C172" s="20">
        <v>64</v>
      </c>
      <c r="D172" s="21" t="s">
        <v>23</v>
      </c>
      <c r="E172" s="21" t="s">
        <v>24</v>
      </c>
      <c r="F172" s="20">
        <v>0.3</v>
      </c>
      <c r="G172" s="22">
        <f>C172*F172</f>
        <v>19.2</v>
      </c>
    </row>
    <row r="173" spans="1:7" ht="15" customHeight="1">
      <c r="A173" s="19" t="s">
        <v>78</v>
      </c>
      <c r="B173" s="20" t="s">
        <v>25</v>
      </c>
      <c r="C173" s="20">
        <v>68</v>
      </c>
      <c r="D173" s="21" t="s">
        <v>45</v>
      </c>
      <c r="E173" s="21" t="s">
        <v>27</v>
      </c>
      <c r="F173" s="20">
        <v>0.5</v>
      </c>
      <c r="G173" s="22">
        <f>C173*F173</f>
        <v>34</v>
      </c>
    </row>
    <row r="174" spans="1:7" ht="15" customHeight="1">
      <c r="A174" s="19" t="s">
        <v>78</v>
      </c>
      <c r="B174" s="20" t="s">
        <v>28</v>
      </c>
      <c r="C174" s="20">
        <v>61</v>
      </c>
      <c r="D174" s="21" t="s">
        <v>29</v>
      </c>
      <c r="E174" s="21" t="s">
        <v>30</v>
      </c>
      <c r="F174" s="20">
        <v>0.1</v>
      </c>
      <c r="G174" s="22">
        <f>C174*F174</f>
        <v>6.1000000000000005</v>
      </c>
    </row>
    <row r="175" spans="1:7" ht="15" customHeight="1">
      <c r="A175" s="19" t="s">
        <v>78</v>
      </c>
      <c r="B175" s="20" t="s">
        <v>31</v>
      </c>
      <c r="C175" s="20">
        <v>61</v>
      </c>
      <c r="D175" s="21" t="s">
        <v>29</v>
      </c>
      <c r="E175" s="21" t="s">
        <v>30</v>
      </c>
      <c r="F175" s="20">
        <v>0.2</v>
      </c>
      <c r="G175" s="22">
        <f>C175*F175</f>
        <v>12.200000000000001</v>
      </c>
    </row>
    <row r="176" spans="1:7" ht="15" customHeight="1">
      <c r="A176" s="19" t="s">
        <v>78</v>
      </c>
      <c r="B176" s="20" t="s">
        <v>33</v>
      </c>
      <c r="C176" s="20">
        <v>60</v>
      </c>
      <c r="D176" s="21" t="s">
        <v>34</v>
      </c>
      <c r="E176" s="21" t="s">
        <v>35</v>
      </c>
      <c r="F176" s="20">
        <v>0.35</v>
      </c>
      <c r="G176" s="22">
        <f>C176*F176</f>
        <v>21</v>
      </c>
    </row>
    <row r="177" spans="1:7" ht="15" customHeight="1">
      <c r="A177" s="19" t="s">
        <v>78</v>
      </c>
      <c r="B177" s="20" t="s">
        <v>36</v>
      </c>
      <c r="C177" s="20">
        <v>60</v>
      </c>
      <c r="D177" s="21" t="s">
        <v>48</v>
      </c>
      <c r="E177" s="21" t="s">
        <v>38</v>
      </c>
      <c r="F177" s="20">
        <v>0.35</v>
      </c>
      <c r="G177" s="22">
        <f>C177*F177</f>
        <v>21</v>
      </c>
    </row>
    <row r="178" spans="1:7" ht="15" customHeight="1">
      <c r="A178" s="19" t="s">
        <v>79</v>
      </c>
      <c r="B178" s="20" t="s">
        <v>8</v>
      </c>
      <c r="C178" s="20">
        <v>63</v>
      </c>
      <c r="D178" s="21" t="s">
        <v>9</v>
      </c>
      <c r="E178" s="21" t="s">
        <v>10</v>
      </c>
      <c r="F178" s="20">
        <v>0.15</v>
      </c>
      <c r="G178" s="22">
        <f>C178*F178</f>
        <v>9.4499999999999993</v>
      </c>
    </row>
    <row r="179" spans="1:7" ht="15" customHeight="1">
      <c r="A179" s="19" t="s">
        <v>79</v>
      </c>
      <c r="B179" s="20" t="s">
        <v>11</v>
      </c>
      <c r="C179" s="20">
        <v>67</v>
      </c>
      <c r="D179" s="21" t="s">
        <v>41</v>
      </c>
      <c r="E179" s="21" t="s">
        <v>13</v>
      </c>
      <c r="F179" s="20">
        <v>0.2</v>
      </c>
      <c r="G179" s="22">
        <f>C179*F179</f>
        <v>13.4</v>
      </c>
    </row>
    <row r="180" spans="1:7" ht="15" customHeight="1">
      <c r="A180" s="19" t="s">
        <v>79</v>
      </c>
      <c r="B180" s="20" t="s">
        <v>14</v>
      </c>
      <c r="C180" s="20">
        <v>66</v>
      </c>
      <c r="D180" s="21" t="s">
        <v>41</v>
      </c>
      <c r="E180" s="21" t="s">
        <v>13</v>
      </c>
      <c r="F180" s="20">
        <v>0.25</v>
      </c>
      <c r="G180" s="22">
        <f>C180*F180</f>
        <v>16.5</v>
      </c>
    </row>
    <row r="181" spans="1:7" ht="15" customHeight="1">
      <c r="A181" s="19" t="s">
        <v>79</v>
      </c>
      <c r="B181" s="20" t="s">
        <v>16</v>
      </c>
      <c r="C181" s="20">
        <v>67</v>
      </c>
      <c r="D181" s="21" t="s">
        <v>42</v>
      </c>
      <c r="E181" s="21" t="s">
        <v>18</v>
      </c>
      <c r="F181" s="20">
        <v>0.4</v>
      </c>
      <c r="G181" s="22">
        <f>C181*F181</f>
        <v>26.8</v>
      </c>
    </row>
    <row r="182" spans="1:7" ht="15" customHeight="1">
      <c r="A182" s="19" t="s">
        <v>79</v>
      </c>
      <c r="B182" s="20" t="s">
        <v>19</v>
      </c>
      <c r="C182" s="20">
        <v>59</v>
      </c>
      <c r="D182" s="21" t="s">
        <v>20</v>
      </c>
      <c r="E182" s="21" t="s">
        <v>21</v>
      </c>
      <c r="F182" s="20">
        <v>0.2</v>
      </c>
      <c r="G182" s="22">
        <f>C182*F182</f>
        <v>11.8</v>
      </c>
    </row>
    <row r="183" spans="1:7" ht="15" customHeight="1">
      <c r="A183" s="19" t="s">
        <v>79</v>
      </c>
      <c r="B183" s="20" t="s">
        <v>22</v>
      </c>
      <c r="C183" s="20">
        <v>61</v>
      </c>
      <c r="D183" s="21" t="s">
        <v>23</v>
      </c>
      <c r="E183" s="21" t="s">
        <v>24</v>
      </c>
      <c r="F183" s="20">
        <v>0.3</v>
      </c>
      <c r="G183" s="22">
        <f>C183*F183</f>
        <v>18.3</v>
      </c>
    </row>
    <row r="184" spans="1:7" ht="15" customHeight="1">
      <c r="A184" s="19" t="s">
        <v>79</v>
      </c>
      <c r="B184" s="20" t="s">
        <v>25</v>
      </c>
      <c r="C184" s="20">
        <v>58</v>
      </c>
      <c r="D184" s="21" t="s">
        <v>50</v>
      </c>
      <c r="E184" s="21" t="s">
        <v>27</v>
      </c>
      <c r="F184" s="20">
        <v>0.5</v>
      </c>
      <c r="G184" s="22">
        <f>C184*F184</f>
        <v>29</v>
      </c>
    </row>
    <row r="185" spans="1:7" ht="15" customHeight="1">
      <c r="A185" s="19" t="s">
        <v>79</v>
      </c>
      <c r="B185" s="20" t="s">
        <v>28</v>
      </c>
      <c r="C185" s="20">
        <v>59</v>
      </c>
      <c r="D185" s="21" t="s">
        <v>29</v>
      </c>
      <c r="E185" s="21" t="s">
        <v>30</v>
      </c>
      <c r="F185" s="20">
        <v>0.1</v>
      </c>
      <c r="G185" s="22">
        <f>C185*F185</f>
        <v>5.9</v>
      </c>
    </row>
    <row r="186" spans="1:7" ht="15" customHeight="1">
      <c r="A186" s="19" t="s">
        <v>79</v>
      </c>
      <c r="B186" s="20" t="s">
        <v>31</v>
      </c>
      <c r="C186" s="20">
        <v>58</v>
      </c>
      <c r="D186" s="21" t="s">
        <v>29</v>
      </c>
      <c r="E186" s="21" t="s">
        <v>30</v>
      </c>
      <c r="F186" s="20">
        <v>0.2</v>
      </c>
      <c r="G186" s="22">
        <f>C186*F186</f>
        <v>11.600000000000001</v>
      </c>
    </row>
    <row r="187" spans="1:7" ht="15" customHeight="1">
      <c r="A187" s="19" t="s">
        <v>79</v>
      </c>
      <c r="B187" s="20" t="s">
        <v>33</v>
      </c>
      <c r="C187" s="20">
        <v>57</v>
      </c>
      <c r="D187" s="21" t="s">
        <v>34</v>
      </c>
      <c r="E187" s="21" t="s">
        <v>35</v>
      </c>
      <c r="F187" s="20">
        <v>0.35</v>
      </c>
      <c r="G187" s="22">
        <f>C187*F187</f>
        <v>19.95</v>
      </c>
    </row>
    <row r="188" spans="1:7" ht="15" customHeight="1">
      <c r="A188" s="19" t="s">
        <v>79</v>
      </c>
      <c r="B188" s="20" t="s">
        <v>36</v>
      </c>
      <c r="C188" s="20">
        <v>62</v>
      </c>
      <c r="D188" s="21" t="s">
        <v>48</v>
      </c>
      <c r="E188" s="21" t="s">
        <v>38</v>
      </c>
      <c r="F188" s="20">
        <v>0.35</v>
      </c>
      <c r="G188" s="22">
        <f>C188*F188</f>
        <v>21.7</v>
      </c>
    </row>
    <row r="189" spans="1:7" ht="15" customHeight="1">
      <c r="A189" s="19" t="s">
        <v>80</v>
      </c>
      <c r="B189" s="20" t="s">
        <v>8</v>
      </c>
      <c r="C189" s="20">
        <v>59</v>
      </c>
      <c r="D189" s="21" t="s">
        <v>9</v>
      </c>
      <c r="E189" s="21" t="s">
        <v>10</v>
      </c>
      <c r="F189" s="20">
        <v>0.15</v>
      </c>
      <c r="G189" s="22">
        <f>C189*F189</f>
        <v>8.85</v>
      </c>
    </row>
    <row r="190" spans="1:7" ht="15" customHeight="1">
      <c r="A190" s="19" t="s">
        <v>80</v>
      </c>
      <c r="B190" s="20" t="s">
        <v>11</v>
      </c>
      <c r="C190" s="20">
        <v>60</v>
      </c>
      <c r="D190" s="21" t="s">
        <v>15</v>
      </c>
      <c r="E190" s="21" t="s">
        <v>13</v>
      </c>
      <c r="F190" s="20">
        <v>0.2</v>
      </c>
      <c r="G190" s="22">
        <f>C190*F190</f>
        <v>12</v>
      </c>
    </row>
    <row r="191" spans="1:7" ht="15" customHeight="1">
      <c r="A191" s="19" t="s">
        <v>80</v>
      </c>
      <c r="B191" s="20" t="s">
        <v>14</v>
      </c>
      <c r="C191" s="20">
        <v>62</v>
      </c>
      <c r="D191" s="21" t="s">
        <v>15</v>
      </c>
      <c r="E191" s="21" t="s">
        <v>13</v>
      </c>
      <c r="F191" s="20">
        <v>0.25</v>
      </c>
      <c r="G191" s="22">
        <f>C191*F191</f>
        <v>15.5</v>
      </c>
    </row>
    <row r="192" spans="1:7" ht="15" customHeight="1">
      <c r="A192" s="19" t="s">
        <v>80</v>
      </c>
      <c r="B192" s="20" t="s">
        <v>16</v>
      </c>
      <c r="C192" s="20">
        <v>63</v>
      </c>
      <c r="D192" s="21" t="s">
        <v>17</v>
      </c>
      <c r="E192" s="21" t="s">
        <v>18</v>
      </c>
      <c r="F192" s="20">
        <v>0.4</v>
      </c>
      <c r="G192" s="22">
        <f>C192*F192</f>
        <v>25.200000000000003</v>
      </c>
    </row>
    <row r="193" spans="1:7" ht="15" customHeight="1">
      <c r="A193" s="19" t="s">
        <v>80</v>
      </c>
      <c r="B193" s="20" t="s">
        <v>19</v>
      </c>
      <c r="C193" s="20">
        <v>58</v>
      </c>
      <c r="D193" s="21" t="s">
        <v>20</v>
      </c>
      <c r="E193" s="21" t="s">
        <v>21</v>
      </c>
      <c r="F193" s="20">
        <v>0.2</v>
      </c>
      <c r="G193" s="22">
        <f>C193*F193</f>
        <v>11.600000000000001</v>
      </c>
    </row>
    <row r="194" spans="1:7" ht="15" customHeight="1">
      <c r="A194" s="19" t="s">
        <v>80</v>
      </c>
      <c r="B194" s="20" t="s">
        <v>22</v>
      </c>
      <c r="C194" s="20">
        <v>61</v>
      </c>
      <c r="D194" s="21" t="s">
        <v>23</v>
      </c>
      <c r="E194" s="21" t="s">
        <v>24</v>
      </c>
      <c r="F194" s="20">
        <v>0.3</v>
      </c>
      <c r="G194" s="22">
        <f>C194*F194</f>
        <v>18.3</v>
      </c>
    </row>
    <row r="195" spans="1:7" ht="15" customHeight="1">
      <c r="A195" s="19" t="s">
        <v>80</v>
      </c>
      <c r="B195" s="20" t="s">
        <v>25</v>
      </c>
      <c r="C195" s="20">
        <v>59</v>
      </c>
      <c r="D195" s="21" t="s">
        <v>50</v>
      </c>
      <c r="E195" s="21" t="s">
        <v>27</v>
      </c>
      <c r="F195" s="20">
        <v>0.5</v>
      </c>
      <c r="G195" s="22">
        <f>C195*F195</f>
        <v>29.5</v>
      </c>
    </row>
    <row r="196" spans="1:7" ht="15" customHeight="1">
      <c r="A196" s="19" t="s">
        <v>80</v>
      </c>
      <c r="B196" s="20" t="s">
        <v>28</v>
      </c>
      <c r="C196" s="20">
        <v>58</v>
      </c>
      <c r="D196" s="21" t="s">
        <v>29</v>
      </c>
      <c r="E196" s="21" t="s">
        <v>30</v>
      </c>
      <c r="F196" s="20">
        <v>0.1</v>
      </c>
      <c r="G196" s="22">
        <f>C196*F196</f>
        <v>5.8000000000000007</v>
      </c>
    </row>
    <row r="197" spans="1:7" ht="15" customHeight="1">
      <c r="A197" s="19" t="s">
        <v>80</v>
      </c>
      <c r="B197" s="20" t="s">
        <v>31</v>
      </c>
      <c r="C197" s="20">
        <v>62</v>
      </c>
      <c r="D197" s="21" t="s">
        <v>29</v>
      </c>
      <c r="E197" s="21" t="s">
        <v>30</v>
      </c>
      <c r="F197" s="20">
        <v>0.2</v>
      </c>
      <c r="G197" s="22">
        <f>C197*F197</f>
        <v>12.4</v>
      </c>
    </row>
    <row r="198" spans="1:7" ht="15" customHeight="1">
      <c r="A198" s="19" t="s">
        <v>80</v>
      </c>
      <c r="B198" s="20" t="s">
        <v>33</v>
      </c>
      <c r="C198" s="20">
        <v>61</v>
      </c>
      <c r="D198" s="21" t="s">
        <v>34</v>
      </c>
      <c r="E198" s="21" t="s">
        <v>35</v>
      </c>
      <c r="F198" s="20">
        <v>0.35</v>
      </c>
      <c r="G198" s="22">
        <f>C198*F198</f>
        <v>21.349999999999998</v>
      </c>
    </row>
    <row r="199" spans="1:7" ht="15" customHeight="1">
      <c r="A199" s="19" t="s">
        <v>80</v>
      </c>
      <c r="B199" s="20" t="s">
        <v>36</v>
      </c>
      <c r="C199" s="20">
        <v>60</v>
      </c>
      <c r="D199" s="21" t="s">
        <v>48</v>
      </c>
      <c r="E199" s="21" t="s">
        <v>38</v>
      </c>
      <c r="F199" s="20">
        <v>0.35</v>
      </c>
      <c r="G199" s="22">
        <f>C199*F199</f>
        <v>21</v>
      </c>
    </row>
    <row r="200" spans="1:7" ht="15" customHeight="1">
      <c r="A200" s="19" t="s">
        <v>81</v>
      </c>
      <c r="B200" s="20" t="s">
        <v>8</v>
      </c>
      <c r="C200" s="20">
        <v>71</v>
      </c>
      <c r="D200" s="21" t="s">
        <v>40</v>
      </c>
      <c r="E200" s="21" t="s">
        <v>10</v>
      </c>
      <c r="F200" s="20">
        <v>0.15</v>
      </c>
      <c r="G200" s="22">
        <f>C200*F200</f>
        <v>10.65</v>
      </c>
    </row>
    <row r="201" spans="1:7" ht="15" customHeight="1">
      <c r="A201" s="19" t="s">
        <v>81</v>
      </c>
      <c r="B201" s="20" t="s">
        <v>11</v>
      </c>
      <c r="C201" s="20">
        <v>70</v>
      </c>
      <c r="D201" s="21" t="s">
        <v>41</v>
      </c>
      <c r="E201" s="21" t="s">
        <v>13</v>
      </c>
      <c r="F201" s="20">
        <v>0.2</v>
      </c>
      <c r="G201" s="22">
        <f>C201*F201</f>
        <v>14</v>
      </c>
    </row>
    <row r="202" spans="1:7" ht="15" customHeight="1">
      <c r="A202" s="19" t="s">
        <v>81</v>
      </c>
      <c r="B202" s="20" t="s">
        <v>14</v>
      </c>
      <c r="C202" s="20">
        <v>72</v>
      </c>
      <c r="D202" s="21" t="s">
        <v>41</v>
      </c>
      <c r="E202" s="21" t="s">
        <v>13</v>
      </c>
      <c r="F202" s="20">
        <v>0.25</v>
      </c>
      <c r="G202" s="22">
        <f>C202*F202</f>
        <v>18</v>
      </c>
    </row>
    <row r="203" spans="1:7" ht="15" customHeight="1">
      <c r="A203" s="19" t="s">
        <v>81</v>
      </c>
      <c r="B203" s="20" t="s">
        <v>16</v>
      </c>
      <c r="C203" s="20">
        <v>70</v>
      </c>
      <c r="D203" s="21" t="s">
        <v>42</v>
      </c>
      <c r="E203" s="21" t="s">
        <v>18</v>
      </c>
      <c r="F203" s="20">
        <v>0.4</v>
      </c>
      <c r="G203" s="22">
        <f>C203*F203</f>
        <v>28</v>
      </c>
    </row>
    <row r="204" spans="1:7" ht="15" customHeight="1">
      <c r="A204" s="19" t="s">
        <v>81</v>
      </c>
      <c r="B204" s="20" t="s">
        <v>19</v>
      </c>
      <c r="C204" s="20">
        <v>73</v>
      </c>
      <c r="D204" s="21" t="s">
        <v>43</v>
      </c>
      <c r="E204" s="21" t="s">
        <v>21</v>
      </c>
      <c r="F204" s="20">
        <v>0.2</v>
      </c>
      <c r="G204" s="22">
        <f>C204*F204</f>
        <v>14.600000000000001</v>
      </c>
    </row>
    <row r="205" spans="1:7" ht="15" customHeight="1">
      <c r="A205" s="19" t="s">
        <v>81</v>
      </c>
      <c r="B205" s="20" t="s">
        <v>22</v>
      </c>
      <c r="C205" s="20">
        <v>71</v>
      </c>
      <c r="D205" s="21" t="s">
        <v>44</v>
      </c>
      <c r="E205" s="21" t="s">
        <v>24</v>
      </c>
      <c r="F205" s="20">
        <v>0.3</v>
      </c>
      <c r="G205" s="22">
        <f>C205*F205</f>
        <v>21.3</v>
      </c>
    </row>
    <row r="206" spans="1:7" ht="15" customHeight="1">
      <c r="A206" s="19" t="s">
        <v>81</v>
      </c>
      <c r="B206" s="20" t="s">
        <v>25</v>
      </c>
      <c r="C206" s="20">
        <v>67</v>
      </c>
      <c r="D206" s="21" t="s">
        <v>45</v>
      </c>
      <c r="E206" s="21" t="s">
        <v>27</v>
      </c>
      <c r="F206" s="20">
        <v>0.5</v>
      </c>
      <c r="G206" s="22">
        <f>C206*F206</f>
        <v>33.5</v>
      </c>
    </row>
    <row r="207" spans="1:7" ht="15" customHeight="1">
      <c r="A207" s="19" t="s">
        <v>81</v>
      </c>
      <c r="B207" s="20" t="s">
        <v>28</v>
      </c>
      <c r="C207" s="20">
        <v>68</v>
      </c>
      <c r="D207" s="21" t="s">
        <v>46</v>
      </c>
      <c r="E207" s="21" t="s">
        <v>30</v>
      </c>
      <c r="F207" s="20">
        <v>0.1</v>
      </c>
      <c r="G207" s="22">
        <f>C207*F207</f>
        <v>6.8000000000000007</v>
      </c>
    </row>
    <row r="208" spans="1:7" ht="15" customHeight="1">
      <c r="A208" s="19" t="s">
        <v>81</v>
      </c>
      <c r="B208" s="20" t="s">
        <v>31</v>
      </c>
      <c r="C208" s="20">
        <v>69</v>
      </c>
      <c r="D208" s="21" t="s">
        <v>46</v>
      </c>
      <c r="E208" s="21" t="s">
        <v>30</v>
      </c>
      <c r="F208" s="20">
        <v>0.2</v>
      </c>
      <c r="G208" s="22">
        <f>C208*F208</f>
        <v>13.8</v>
      </c>
    </row>
    <row r="209" spans="1:7" ht="15" customHeight="1">
      <c r="A209" s="19" t="s">
        <v>81</v>
      </c>
      <c r="B209" s="20" t="s">
        <v>33</v>
      </c>
      <c r="C209" s="20">
        <v>69</v>
      </c>
      <c r="D209" s="21" t="s">
        <v>47</v>
      </c>
      <c r="E209" s="21" t="s">
        <v>35</v>
      </c>
      <c r="F209" s="20">
        <v>0.35</v>
      </c>
      <c r="G209" s="22">
        <f>C209*F209</f>
        <v>24.15</v>
      </c>
    </row>
    <row r="210" spans="1:7" ht="15" customHeight="1">
      <c r="A210" s="19" t="s">
        <v>81</v>
      </c>
      <c r="B210" s="20" t="s">
        <v>36</v>
      </c>
      <c r="C210" s="20">
        <v>69</v>
      </c>
      <c r="D210" s="21" t="s">
        <v>51</v>
      </c>
      <c r="E210" s="21" t="s">
        <v>38</v>
      </c>
      <c r="F210" s="20">
        <v>0.35</v>
      </c>
      <c r="G210" s="22">
        <f>C210*F210</f>
        <v>24.15</v>
      </c>
    </row>
    <row r="211" spans="1:7" ht="15" customHeight="1">
      <c r="A211" s="19" t="s">
        <v>82</v>
      </c>
      <c r="B211" s="20" t="s">
        <v>8</v>
      </c>
      <c r="C211" s="20">
        <v>82</v>
      </c>
      <c r="D211" s="21" t="s">
        <v>56</v>
      </c>
      <c r="E211" s="21" t="s">
        <v>10</v>
      </c>
      <c r="F211" s="20">
        <v>0.15</v>
      </c>
      <c r="G211" s="22">
        <f>C211*F211</f>
        <v>12.299999999999999</v>
      </c>
    </row>
    <row r="212" spans="1:7" ht="15" customHeight="1">
      <c r="A212" s="19" t="s">
        <v>82</v>
      </c>
      <c r="B212" s="20" t="s">
        <v>11</v>
      </c>
      <c r="C212" s="20">
        <v>77</v>
      </c>
      <c r="D212" s="21" t="s">
        <v>61</v>
      </c>
      <c r="E212" s="21" t="s">
        <v>13</v>
      </c>
      <c r="F212" s="20">
        <v>0.2</v>
      </c>
      <c r="G212" s="22">
        <f>C212*F212</f>
        <v>15.4</v>
      </c>
    </row>
    <row r="213" spans="1:7" ht="15" customHeight="1">
      <c r="A213" s="19" t="s">
        <v>82</v>
      </c>
      <c r="B213" s="20" t="s">
        <v>14</v>
      </c>
      <c r="C213" s="20">
        <v>82</v>
      </c>
      <c r="D213" s="21" t="s">
        <v>61</v>
      </c>
      <c r="E213" s="21" t="s">
        <v>13</v>
      </c>
      <c r="F213" s="20">
        <v>0.25</v>
      </c>
      <c r="G213" s="22">
        <f>C213*F213</f>
        <v>20.5</v>
      </c>
    </row>
    <row r="214" spans="1:7" ht="15" customHeight="1">
      <c r="A214" s="19" t="s">
        <v>82</v>
      </c>
      <c r="B214" s="20" t="s">
        <v>16</v>
      </c>
      <c r="C214" s="20">
        <v>77</v>
      </c>
      <c r="D214" s="21" t="s">
        <v>57</v>
      </c>
      <c r="E214" s="21" t="s">
        <v>18</v>
      </c>
      <c r="F214" s="20">
        <v>0.4</v>
      </c>
      <c r="G214" s="22">
        <f>C214*F214</f>
        <v>30.8</v>
      </c>
    </row>
    <row r="215" spans="1:7" ht="15" customHeight="1">
      <c r="A215" s="19" t="s">
        <v>82</v>
      </c>
      <c r="B215" s="20" t="s">
        <v>19</v>
      </c>
      <c r="C215" s="20">
        <v>84</v>
      </c>
      <c r="D215" s="21" t="s">
        <v>66</v>
      </c>
      <c r="E215" s="21" t="s">
        <v>21</v>
      </c>
      <c r="F215" s="20">
        <v>0.2</v>
      </c>
      <c r="G215" s="22">
        <f>C215*F215</f>
        <v>16.8</v>
      </c>
    </row>
    <row r="216" spans="1:7" ht="15" customHeight="1">
      <c r="A216" s="19" t="s">
        <v>82</v>
      </c>
      <c r="B216" s="20" t="s">
        <v>22</v>
      </c>
      <c r="C216" s="20">
        <v>84</v>
      </c>
      <c r="D216" s="21" t="s">
        <v>58</v>
      </c>
      <c r="E216" s="21" t="s">
        <v>24</v>
      </c>
      <c r="F216" s="20">
        <v>0.3</v>
      </c>
      <c r="G216" s="22">
        <f>C216*F216</f>
        <v>25.2</v>
      </c>
    </row>
    <row r="217" spans="1:7" ht="15" customHeight="1">
      <c r="A217" s="19" t="s">
        <v>82</v>
      </c>
      <c r="B217" s="20" t="s">
        <v>25</v>
      </c>
      <c r="C217" s="20">
        <v>79</v>
      </c>
      <c r="D217" s="21" t="s">
        <v>67</v>
      </c>
      <c r="E217" s="21" t="s">
        <v>27</v>
      </c>
      <c r="F217" s="20">
        <v>0.5</v>
      </c>
      <c r="G217" s="22">
        <f>C217*F217</f>
        <v>39.5</v>
      </c>
    </row>
    <row r="218" spans="1:7" ht="15" customHeight="1">
      <c r="A218" s="19" t="s">
        <v>82</v>
      </c>
      <c r="B218" s="20" t="s">
        <v>28</v>
      </c>
      <c r="C218" s="20">
        <v>84</v>
      </c>
      <c r="D218" s="21" t="s">
        <v>62</v>
      </c>
      <c r="E218" s="21" t="s">
        <v>30</v>
      </c>
      <c r="F218" s="20">
        <v>0.1</v>
      </c>
      <c r="G218" s="22">
        <f>C218*F218</f>
        <v>8.4</v>
      </c>
    </row>
    <row r="219" spans="1:7" ht="15" customHeight="1">
      <c r="A219" s="19" t="s">
        <v>82</v>
      </c>
      <c r="B219" s="20" t="s">
        <v>31</v>
      </c>
      <c r="C219" s="20">
        <v>80</v>
      </c>
      <c r="D219" s="21" t="s">
        <v>62</v>
      </c>
      <c r="E219" s="21" t="s">
        <v>30</v>
      </c>
      <c r="F219" s="20">
        <v>0.2</v>
      </c>
      <c r="G219" s="22">
        <f>C219*F219</f>
        <v>16</v>
      </c>
    </row>
    <row r="220" spans="1:7" ht="15" customHeight="1">
      <c r="A220" s="19" t="s">
        <v>82</v>
      </c>
      <c r="B220" s="20" t="s">
        <v>33</v>
      </c>
      <c r="C220" s="20">
        <v>80</v>
      </c>
      <c r="D220" s="21" t="s">
        <v>63</v>
      </c>
      <c r="E220" s="21" t="s">
        <v>35</v>
      </c>
      <c r="F220" s="20">
        <v>0.35</v>
      </c>
      <c r="G220" s="22">
        <f>C220*F220</f>
        <v>28</v>
      </c>
    </row>
    <row r="221" spans="1:7" ht="15" customHeight="1">
      <c r="A221" s="19" t="s">
        <v>82</v>
      </c>
      <c r="B221" s="20" t="s">
        <v>36</v>
      </c>
      <c r="C221" s="20">
        <v>80</v>
      </c>
      <c r="D221" s="21" t="s">
        <v>59</v>
      </c>
      <c r="E221" s="21" t="s">
        <v>38</v>
      </c>
      <c r="F221" s="20">
        <v>0.35</v>
      </c>
      <c r="G221" s="22">
        <f>C221*F221</f>
        <v>28</v>
      </c>
    </row>
    <row r="222" spans="1:7" ht="15" customHeight="1">
      <c r="A222" s="19" t="s">
        <v>83</v>
      </c>
      <c r="B222" s="20" t="s">
        <v>8</v>
      </c>
      <c r="C222" s="20">
        <v>77</v>
      </c>
      <c r="D222" s="21" t="s">
        <v>56</v>
      </c>
      <c r="E222" s="21" t="s">
        <v>10</v>
      </c>
      <c r="F222" s="20">
        <v>0.15</v>
      </c>
      <c r="G222" s="22">
        <f>C222*F222</f>
        <v>11.549999999999999</v>
      </c>
    </row>
    <row r="223" spans="1:7" ht="15" customHeight="1">
      <c r="A223" s="19" t="s">
        <v>83</v>
      </c>
      <c r="B223" s="20" t="s">
        <v>11</v>
      </c>
      <c r="C223" s="20">
        <v>75</v>
      </c>
      <c r="D223" s="21" t="s">
        <v>61</v>
      </c>
      <c r="E223" s="21" t="s">
        <v>13</v>
      </c>
      <c r="F223" s="20">
        <v>0.2</v>
      </c>
      <c r="G223" s="22">
        <f>C223*F223</f>
        <v>15</v>
      </c>
    </row>
    <row r="224" spans="1:7" ht="15" customHeight="1">
      <c r="A224" s="19" t="s">
        <v>83</v>
      </c>
      <c r="B224" s="20" t="s">
        <v>14</v>
      </c>
      <c r="C224" s="20">
        <v>71</v>
      </c>
      <c r="D224" s="21" t="s">
        <v>41</v>
      </c>
      <c r="E224" s="21" t="s">
        <v>13</v>
      </c>
      <c r="F224" s="20">
        <v>0.25</v>
      </c>
      <c r="G224" s="22">
        <f>C224*F224</f>
        <v>17.75</v>
      </c>
    </row>
    <row r="225" spans="1:7" ht="15" customHeight="1">
      <c r="A225" s="19" t="s">
        <v>83</v>
      </c>
      <c r="B225" s="20" t="s">
        <v>16</v>
      </c>
      <c r="C225" s="20">
        <v>73</v>
      </c>
      <c r="D225" s="21" t="s">
        <v>42</v>
      </c>
      <c r="E225" s="21" t="s">
        <v>18</v>
      </c>
      <c r="F225" s="20">
        <v>0.4</v>
      </c>
      <c r="G225" s="22">
        <f>C225*F225</f>
        <v>29.200000000000003</v>
      </c>
    </row>
    <row r="226" spans="1:7" ht="15" customHeight="1">
      <c r="A226" s="19" t="s">
        <v>83</v>
      </c>
      <c r="B226" s="20" t="s">
        <v>19</v>
      </c>
      <c r="C226" s="20">
        <v>70</v>
      </c>
      <c r="D226" s="21" t="s">
        <v>43</v>
      </c>
      <c r="E226" s="21" t="s">
        <v>21</v>
      </c>
      <c r="F226" s="20">
        <v>0.2</v>
      </c>
      <c r="G226" s="22">
        <f>C226*F226</f>
        <v>14</v>
      </c>
    </row>
    <row r="227" spans="1:7" ht="15" customHeight="1">
      <c r="A227" s="19" t="s">
        <v>83</v>
      </c>
      <c r="B227" s="20" t="s">
        <v>22</v>
      </c>
      <c r="C227" s="20">
        <v>70</v>
      </c>
      <c r="D227" s="21" t="s">
        <v>44</v>
      </c>
      <c r="E227" s="21" t="s">
        <v>24</v>
      </c>
      <c r="F227" s="20">
        <v>0.3</v>
      </c>
      <c r="G227" s="22">
        <f>C227*F227</f>
        <v>21</v>
      </c>
    </row>
    <row r="228" spans="1:7" ht="15" customHeight="1">
      <c r="A228" s="19" t="s">
        <v>83</v>
      </c>
      <c r="B228" s="20" t="s">
        <v>25</v>
      </c>
      <c r="C228" s="20">
        <v>70</v>
      </c>
      <c r="D228" s="21" t="s">
        <v>45</v>
      </c>
      <c r="E228" s="21" t="s">
        <v>27</v>
      </c>
      <c r="F228" s="20">
        <v>0.5</v>
      </c>
      <c r="G228" s="22">
        <f>C228*F228</f>
        <v>35</v>
      </c>
    </row>
    <row r="229" spans="1:7" ht="15" customHeight="1">
      <c r="A229" s="19" t="s">
        <v>83</v>
      </c>
      <c r="B229" s="20" t="s">
        <v>28</v>
      </c>
      <c r="C229" s="20">
        <v>68</v>
      </c>
      <c r="D229" s="21" t="s">
        <v>46</v>
      </c>
      <c r="E229" s="21" t="s">
        <v>30</v>
      </c>
      <c r="F229" s="20">
        <v>0.1</v>
      </c>
      <c r="G229" s="22">
        <f>C229*F229</f>
        <v>6.8000000000000007</v>
      </c>
    </row>
    <row r="230" spans="1:7" ht="15" customHeight="1">
      <c r="A230" s="19" t="s">
        <v>83</v>
      </c>
      <c r="B230" s="20" t="s">
        <v>31</v>
      </c>
      <c r="C230" s="20">
        <v>70</v>
      </c>
      <c r="D230" s="21" t="s">
        <v>46</v>
      </c>
      <c r="E230" s="21" t="s">
        <v>30</v>
      </c>
      <c r="F230" s="20">
        <v>0.2</v>
      </c>
      <c r="G230" s="22">
        <f>C230*F230</f>
        <v>14</v>
      </c>
    </row>
    <row r="231" spans="1:7" ht="15" customHeight="1">
      <c r="A231" s="19" t="s">
        <v>83</v>
      </c>
      <c r="B231" s="20" t="s">
        <v>33</v>
      </c>
      <c r="C231" s="20">
        <v>71</v>
      </c>
      <c r="D231" s="21" t="s">
        <v>47</v>
      </c>
      <c r="E231" s="21" t="s">
        <v>35</v>
      </c>
      <c r="F231" s="20">
        <v>0.35</v>
      </c>
      <c r="G231" s="22">
        <f>C231*F231</f>
        <v>24.849999999999998</v>
      </c>
    </row>
    <row r="232" spans="1:7" ht="15" customHeight="1">
      <c r="A232" s="19" t="s">
        <v>83</v>
      </c>
      <c r="B232" s="20" t="s">
        <v>36</v>
      </c>
      <c r="C232" s="20">
        <v>71</v>
      </c>
      <c r="D232" s="21" t="s">
        <v>51</v>
      </c>
      <c r="E232" s="21" t="s">
        <v>38</v>
      </c>
      <c r="F232" s="20">
        <v>0.35</v>
      </c>
      <c r="G232" s="22">
        <f>C232*F232</f>
        <v>24.849999999999998</v>
      </c>
    </row>
    <row r="233" spans="1:7" ht="15" customHeight="1">
      <c r="A233" s="19" t="s">
        <v>84</v>
      </c>
      <c r="B233" s="20" t="s">
        <v>8</v>
      </c>
      <c r="C233" s="20">
        <v>72</v>
      </c>
      <c r="D233" s="21" t="s">
        <v>40</v>
      </c>
      <c r="E233" s="21" t="s">
        <v>10</v>
      </c>
      <c r="F233" s="20">
        <v>0.15</v>
      </c>
      <c r="G233" s="22">
        <f>C233*F233</f>
        <v>10.799999999999999</v>
      </c>
    </row>
    <row r="234" spans="1:7" ht="15" customHeight="1">
      <c r="A234" s="19" t="s">
        <v>84</v>
      </c>
      <c r="B234" s="20" t="s">
        <v>11</v>
      </c>
      <c r="C234" s="20">
        <v>71</v>
      </c>
      <c r="D234" s="21" t="s">
        <v>41</v>
      </c>
      <c r="E234" s="21" t="s">
        <v>13</v>
      </c>
      <c r="F234" s="20">
        <v>0.2</v>
      </c>
      <c r="G234" s="22">
        <f>C234*F234</f>
        <v>14.200000000000001</v>
      </c>
    </row>
    <row r="235" spans="1:7" ht="15" customHeight="1">
      <c r="A235" s="19" t="s">
        <v>84</v>
      </c>
      <c r="B235" s="20" t="s">
        <v>14</v>
      </c>
      <c r="C235" s="20">
        <v>77</v>
      </c>
      <c r="D235" s="21" t="s">
        <v>61</v>
      </c>
      <c r="E235" s="21" t="s">
        <v>13</v>
      </c>
      <c r="F235" s="20">
        <v>0.25</v>
      </c>
      <c r="G235" s="22">
        <f>C235*F235</f>
        <v>19.25</v>
      </c>
    </row>
    <row r="236" spans="1:7" ht="15" customHeight="1">
      <c r="A236" s="19" t="s">
        <v>84</v>
      </c>
      <c r="B236" s="20" t="s">
        <v>16</v>
      </c>
      <c r="C236" s="20">
        <v>73</v>
      </c>
      <c r="D236" s="21" t="s">
        <v>42</v>
      </c>
      <c r="E236" s="21" t="s">
        <v>18</v>
      </c>
      <c r="F236" s="20">
        <v>0.4</v>
      </c>
      <c r="G236" s="22">
        <f>C236*F236</f>
        <v>29.200000000000003</v>
      </c>
    </row>
    <row r="237" spans="1:7" ht="15" customHeight="1">
      <c r="A237" s="19" t="s">
        <v>84</v>
      </c>
      <c r="B237" s="20" t="s">
        <v>19</v>
      </c>
      <c r="C237" s="20">
        <v>72</v>
      </c>
      <c r="D237" s="21" t="s">
        <v>43</v>
      </c>
      <c r="E237" s="21" t="s">
        <v>21</v>
      </c>
      <c r="F237" s="20">
        <v>0.2</v>
      </c>
      <c r="G237" s="22">
        <f>C237*F237</f>
        <v>14.4</v>
      </c>
    </row>
    <row r="238" spans="1:7" ht="15" customHeight="1">
      <c r="A238" s="19" t="s">
        <v>84</v>
      </c>
      <c r="B238" s="20" t="s">
        <v>22</v>
      </c>
      <c r="C238" s="20">
        <v>72</v>
      </c>
      <c r="D238" s="21" t="s">
        <v>44</v>
      </c>
      <c r="E238" s="21" t="s">
        <v>24</v>
      </c>
      <c r="F238" s="20">
        <v>0.3</v>
      </c>
      <c r="G238" s="22">
        <f>C238*F238</f>
        <v>21.599999999999998</v>
      </c>
    </row>
    <row r="239" spans="1:7" ht="15" customHeight="1">
      <c r="A239" s="19" t="s">
        <v>84</v>
      </c>
      <c r="B239" s="20" t="s">
        <v>25</v>
      </c>
      <c r="C239" s="20">
        <v>70</v>
      </c>
      <c r="D239" s="21" t="s">
        <v>45</v>
      </c>
      <c r="E239" s="21" t="s">
        <v>27</v>
      </c>
      <c r="F239" s="20">
        <v>0.5</v>
      </c>
      <c r="G239" s="22">
        <f>C239*F239</f>
        <v>35</v>
      </c>
    </row>
    <row r="240" spans="1:7" ht="15" customHeight="1">
      <c r="A240" s="19" t="s">
        <v>84</v>
      </c>
      <c r="B240" s="20" t="s">
        <v>28</v>
      </c>
      <c r="C240" s="20">
        <v>77</v>
      </c>
      <c r="D240" s="21" t="s">
        <v>62</v>
      </c>
      <c r="E240" s="21" t="s">
        <v>30</v>
      </c>
      <c r="F240" s="20">
        <v>0.1</v>
      </c>
      <c r="G240" s="22">
        <f>C240*F240</f>
        <v>7.7</v>
      </c>
    </row>
    <row r="241" spans="1:7" ht="15" customHeight="1">
      <c r="A241" s="19" t="s">
        <v>84</v>
      </c>
      <c r="B241" s="20" t="s">
        <v>31</v>
      </c>
      <c r="C241" s="20">
        <v>79</v>
      </c>
      <c r="D241" s="21" t="s">
        <v>62</v>
      </c>
      <c r="E241" s="21" t="s">
        <v>30</v>
      </c>
      <c r="F241" s="20">
        <v>0.2</v>
      </c>
      <c r="G241" s="22">
        <f>C241*F241</f>
        <v>15.8</v>
      </c>
    </row>
    <row r="242" spans="1:7" ht="15" customHeight="1">
      <c r="A242" s="19" t="s">
        <v>84</v>
      </c>
      <c r="B242" s="20" t="s">
        <v>33</v>
      </c>
      <c r="C242" s="20">
        <v>77</v>
      </c>
      <c r="D242" s="21" t="s">
        <v>63</v>
      </c>
      <c r="E242" s="21" t="s">
        <v>35</v>
      </c>
      <c r="F242" s="20">
        <v>0.35</v>
      </c>
      <c r="G242" s="22">
        <f>C242*F242</f>
        <v>26.95</v>
      </c>
    </row>
    <row r="243" spans="1:7" ht="15" customHeight="1">
      <c r="A243" s="19" t="s">
        <v>84</v>
      </c>
      <c r="B243" s="20" t="s">
        <v>36</v>
      </c>
      <c r="C243" s="20">
        <v>76</v>
      </c>
      <c r="D243" s="21" t="s">
        <v>59</v>
      </c>
      <c r="E243" s="21" t="s">
        <v>38</v>
      </c>
      <c r="F243" s="20">
        <v>0.35</v>
      </c>
      <c r="G243" s="22">
        <f>C243*F243</f>
        <v>26.599999999999998</v>
      </c>
    </row>
    <row r="244" spans="1:7" ht="15" customHeight="1">
      <c r="A244" s="19" t="s">
        <v>85</v>
      </c>
      <c r="B244" s="20" t="s">
        <v>8</v>
      </c>
      <c r="C244" s="20">
        <v>64</v>
      </c>
      <c r="D244" s="21" t="s">
        <v>9</v>
      </c>
      <c r="E244" s="21" t="s">
        <v>10</v>
      </c>
      <c r="F244" s="20">
        <v>0.15</v>
      </c>
      <c r="G244" s="22">
        <f>C244*F244</f>
        <v>9.6</v>
      </c>
    </row>
    <row r="245" spans="1:7" ht="15" customHeight="1">
      <c r="A245" s="19" t="s">
        <v>85</v>
      </c>
      <c r="B245" s="20" t="s">
        <v>11</v>
      </c>
      <c r="C245" s="20">
        <v>64</v>
      </c>
      <c r="D245" s="21" t="s">
        <v>15</v>
      </c>
      <c r="E245" s="21" t="s">
        <v>13</v>
      </c>
      <c r="F245" s="20">
        <v>0.2</v>
      </c>
      <c r="G245" s="22">
        <f>C245*F245</f>
        <v>12.8</v>
      </c>
    </row>
    <row r="246" spans="1:7" ht="15" customHeight="1">
      <c r="A246" s="19" t="s">
        <v>85</v>
      </c>
      <c r="B246" s="20" t="s">
        <v>14</v>
      </c>
      <c r="C246" s="20">
        <v>69</v>
      </c>
      <c r="D246" s="21" t="s">
        <v>41</v>
      </c>
      <c r="E246" s="21" t="s">
        <v>13</v>
      </c>
      <c r="F246" s="20">
        <v>0.25</v>
      </c>
      <c r="G246" s="22">
        <f>C246*F246</f>
        <v>17.25</v>
      </c>
    </row>
    <row r="247" spans="1:7" ht="15" customHeight="1">
      <c r="A247" s="19" t="s">
        <v>85</v>
      </c>
      <c r="B247" s="20" t="s">
        <v>16</v>
      </c>
      <c r="C247" s="20">
        <v>66</v>
      </c>
      <c r="D247" s="21" t="s">
        <v>42</v>
      </c>
      <c r="E247" s="21" t="s">
        <v>18</v>
      </c>
      <c r="F247" s="20">
        <v>0.4</v>
      </c>
      <c r="G247" s="22">
        <f>C247*F247</f>
        <v>26.400000000000002</v>
      </c>
    </row>
    <row r="248" spans="1:7" ht="15" customHeight="1">
      <c r="A248" s="19" t="s">
        <v>85</v>
      </c>
      <c r="B248" s="20" t="s">
        <v>19</v>
      </c>
      <c r="C248" s="20">
        <v>60</v>
      </c>
      <c r="D248" s="21" t="s">
        <v>20</v>
      </c>
      <c r="E248" s="21" t="s">
        <v>21</v>
      </c>
      <c r="F248" s="20">
        <v>0.2</v>
      </c>
      <c r="G248" s="22">
        <f>C248*F248</f>
        <v>12</v>
      </c>
    </row>
    <row r="249" spans="1:7" ht="15" customHeight="1">
      <c r="A249" s="19" t="s">
        <v>85</v>
      </c>
      <c r="B249" s="20" t="s">
        <v>22</v>
      </c>
      <c r="C249" s="20">
        <v>60</v>
      </c>
      <c r="D249" s="21" t="s">
        <v>23</v>
      </c>
      <c r="E249" s="21" t="s">
        <v>24</v>
      </c>
      <c r="F249" s="20">
        <v>0.3</v>
      </c>
      <c r="G249" s="22">
        <f>C249*F249</f>
        <v>18</v>
      </c>
    </row>
    <row r="250" spans="1:7" ht="15" customHeight="1">
      <c r="A250" s="19" t="s">
        <v>85</v>
      </c>
      <c r="B250" s="20" t="s">
        <v>25</v>
      </c>
      <c r="C250" s="20">
        <v>61</v>
      </c>
      <c r="D250" s="21" t="s">
        <v>50</v>
      </c>
      <c r="E250" s="21" t="s">
        <v>27</v>
      </c>
      <c r="F250" s="20">
        <v>0.5</v>
      </c>
      <c r="G250" s="22">
        <f>C250*F250</f>
        <v>30.5</v>
      </c>
    </row>
    <row r="251" spans="1:7" ht="15" customHeight="1">
      <c r="A251" s="19" t="s">
        <v>85</v>
      </c>
      <c r="B251" s="20" t="s">
        <v>28</v>
      </c>
      <c r="C251" s="20">
        <v>64</v>
      </c>
      <c r="D251" s="21" t="s">
        <v>29</v>
      </c>
      <c r="E251" s="21" t="s">
        <v>30</v>
      </c>
      <c r="F251" s="20">
        <v>0.1</v>
      </c>
      <c r="G251" s="22">
        <f>C251*F251</f>
        <v>6.4</v>
      </c>
    </row>
    <row r="252" spans="1:7" ht="15" customHeight="1">
      <c r="A252" s="19" t="s">
        <v>85</v>
      </c>
      <c r="B252" s="20" t="s">
        <v>31</v>
      </c>
      <c r="C252" s="20">
        <v>62</v>
      </c>
      <c r="D252" s="21" t="s">
        <v>29</v>
      </c>
      <c r="E252" s="21" t="s">
        <v>30</v>
      </c>
      <c r="F252" s="20">
        <v>0.2</v>
      </c>
      <c r="G252" s="22">
        <f>C252*F252</f>
        <v>12.4</v>
      </c>
    </row>
    <row r="253" spans="1:7" ht="15" customHeight="1">
      <c r="A253" s="19" t="s">
        <v>85</v>
      </c>
      <c r="B253" s="20" t="s">
        <v>33</v>
      </c>
      <c r="C253" s="20">
        <v>60</v>
      </c>
      <c r="D253" s="21" t="s">
        <v>34</v>
      </c>
      <c r="E253" s="21" t="s">
        <v>35</v>
      </c>
      <c r="F253" s="20">
        <v>0.35</v>
      </c>
      <c r="G253" s="22">
        <f>C253*F253</f>
        <v>21</v>
      </c>
    </row>
    <row r="254" spans="1:7" ht="15" customHeight="1">
      <c r="A254" s="19" t="s">
        <v>85</v>
      </c>
      <c r="B254" s="20" t="s">
        <v>36</v>
      </c>
      <c r="C254" s="20">
        <v>62</v>
      </c>
      <c r="D254" s="21" t="s">
        <v>48</v>
      </c>
      <c r="E254" s="21" t="s">
        <v>38</v>
      </c>
      <c r="F254" s="20">
        <v>0.35</v>
      </c>
      <c r="G254" s="22">
        <f>C254*F254</f>
        <v>21.7</v>
      </c>
    </row>
    <row r="255" spans="1:7" ht="15" customHeight="1">
      <c r="A255" s="19" t="s">
        <v>86</v>
      </c>
      <c r="B255" s="20" t="s">
        <v>8</v>
      </c>
      <c r="C255" s="20">
        <v>70</v>
      </c>
      <c r="D255" s="21" t="s">
        <v>40</v>
      </c>
      <c r="E255" s="21" t="s">
        <v>10</v>
      </c>
      <c r="F255" s="20">
        <v>0.15</v>
      </c>
      <c r="G255" s="22">
        <f>C255*F255</f>
        <v>10.5</v>
      </c>
    </row>
    <row r="256" spans="1:7" ht="15" customHeight="1">
      <c r="A256" s="19" t="s">
        <v>86</v>
      </c>
      <c r="B256" s="20" t="s">
        <v>11</v>
      </c>
      <c r="C256" s="20">
        <v>69</v>
      </c>
      <c r="D256" s="21" t="s">
        <v>41</v>
      </c>
      <c r="E256" s="21" t="s">
        <v>13</v>
      </c>
      <c r="F256" s="20">
        <v>0.2</v>
      </c>
      <c r="G256" s="22">
        <f>C256*F256</f>
        <v>13.8</v>
      </c>
    </row>
    <row r="257" spans="1:7" ht="15" customHeight="1">
      <c r="A257" s="19" t="s">
        <v>86</v>
      </c>
      <c r="B257" s="20" t="s">
        <v>14</v>
      </c>
      <c r="C257" s="20">
        <v>74</v>
      </c>
      <c r="D257" s="21" t="s">
        <v>41</v>
      </c>
      <c r="E257" s="21" t="s">
        <v>13</v>
      </c>
      <c r="F257" s="20">
        <v>0.25</v>
      </c>
      <c r="G257" s="22">
        <f>C257*F257</f>
        <v>18.5</v>
      </c>
    </row>
    <row r="258" spans="1:7" ht="15" customHeight="1">
      <c r="A258" s="19" t="s">
        <v>86</v>
      </c>
      <c r="B258" s="20" t="s">
        <v>16</v>
      </c>
      <c r="C258" s="20">
        <v>69</v>
      </c>
      <c r="D258" s="21" t="s">
        <v>42</v>
      </c>
      <c r="E258" s="21" t="s">
        <v>18</v>
      </c>
      <c r="F258" s="20">
        <v>0.4</v>
      </c>
      <c r="G258" s="22">
        <f>C258*F258</f>
        <v>27.6</v>
      </c>
    </row>
    <row r="259" spans="1:7" ht="15" customHeight="1">
      <c r="A259" s="19" t="s">
        <v>86</v>
      </c>
      <c r="B259" s="20" t="s">
        <v>19</v>
      </c>
      <c r="C259" s="20">
        <v>69</v>
      </c>
      <c r="D259" s="21" t="s">
        <v>43</v>
      </c>
      <c r="E259" s="21" t="s">
        <v>21</v>
      </c>
      <c r="F259" s="20">
        <v>0.2</v>
      </c>
      <c r="G259" s="22">
        <f>C259*F259</f>
        <v>13.8</v>
      </c>
    </row>
    <row r="260" spans="1:7" ht="15" customHeight="1">
      <c r="A260" s="19" t="s">
        <v>86</v>
      </c>
      <c r="B260" s="20" t="s">
        <v>22</v>
      </c>
      <c r="C260" s="20">
        <v>69</v>
      </c>
      <c r="D260" s="21" t="s">
        <v>44</v>
      </c>
      <c r="E260" s="21" t="s">
        <v>24</v>
      </c>
      <c r="F260" s="20">
        <v>0.3</v>
      </c>
      <c r="G260" s="22">
        <f>C260*F260</f>
        <v>20.7</v>
      </c>
    </row>
    <row r="261" spans="1:7" ht="15" customHeight="1">
      <c r="A261" s="19" t="s">
        <v>86</v>
      </c>
      <c r="B261" s="20" t="s">
        <v>25</v>
      </c>
      <c r="C261" s="20">
        <v>73</v>
      </c>
      <c r="D261" s="21" t="s">
        <v>45</v>
      </c>
      <c r="E261" s="21" t="s">
        <v>27</v>
      </c>
      <c r="F261" s="20">
        <v>0.5</v>
      </c>
      <c r="G261" s="22">
        <f>C261*F261</f>
        <v>36.5</v>
      </c>
    </row>
    <row r="262" spans="1:7" ht="15" customHeight="1">
      <c r="A262" s="19" t="s">
        <v>86</v>
      </c>
      <c r="B262" s="20" t="s">
        <v>28</v>
      </c>
      <c r="C262" s="20">
        <v>76</v>
      </c>
      <c r="D262" s="21" t="s">
        <v>62</v>
      </c>
      <c r="E262" s="21" t="s">
        <v>30</v>
      </c>
      <c r="F262" s="20">
        <v>0.1</v>
      </c>
      <c r="G262" s="22">
        <f>C262*F262</f>
        <v>7.6000000000000005</v>
      </c>
    </row>
    <row r="263" spans="1:7" ht="15" customHeight="1">
      <c r="A263" s="19" t="s">
        <v>86</v>
      </c>
      <c r="B263" s="20" t="s">
        <v>31</v>
      </c>
      <c r="C263" s="20">
        <v>76</v>
      </c>
      <c r="D263" s="21" t="s">
        <v>62</v>
      </c>
      <c r="E263" s="21" t="s">
        <v>30</v>
      </c>
      <c r="F263" s="20">
        <v>0.2</v>
      </c>
      <c r="G263" s="22">
        <f>C263*F263</f>
        <v>15.200000000000001</v>
      </c>
    </row>
    <row r="264" spans="1:7" ht="15" customHeight="1">
      <c r="A264" s="19" t="s">
        <v>86</v>
      </c>
      <c r="B264" s="20" t="s">
        <v>33</v>
      </c>
      <c r="C264" s="20">
        <v>77</v>
      </c>
      <c r="D264" s="21" t="s">
        <v>63</v>
      </c>
      <c r="E264" s="21" t="s">
        <v>35</v>
      </c>
      <c r="F264" s="20">
        <v>0.35</v>
      </c>
      <c r="G264" s="22">
        <f>C264*F264</f>
        <v>26.95</v>
      </c>
    </row>
    <row r="265" spans="1:7" ht="15" customHeight="1">
      <c r="A265" s="19" t="s">
        <v>86</v>
      </c>
      <c r="B265" s="20" t="s">
        <v>36</v>
      </c>
      <c r="C265" s="20">
        <v>77</v>
      </c>
      <c r="D265" s="21" t="s">
        <v>59</v>
      </c>
      <c r="E265" s="21" t="s">
        <v>38</v>
      </c>
      <c r="F265" s="20">
        <v>0.35</v>
      </c>
      <c r="G265" s="22">
        <f>C265*F265</f>
        <v>26.95</v>
      </c>
    </row>
    <row r="266" spans="1:7" ht="15" customHeight="1">
      <c r="A266" s="19" t="s">
        <v>87</v>
      </c>
      <c r="B266" s="20" t="s">
        <v>8</v>
      </c>
      <c r="C266" s="20">
        <v>82</v>
      </c>
      <c r="D266" s="21" t="s">
        <v>56</v>
      </c>
      <c r="E266" s="21" t="s">
        <v>10</v>
      </c>
      <c r="F266" s="20">
        <v>0.15</v>
      </c>
      <c r="G266" s="22">
        <f>C266*F266</f>
        <v>12.299999999999999</v>
      </c>
    </row>
    <row r="267" spans="1:7" ht="15" customHeight="1">
      <c r="A267" s="19" t="s">
        <v>87</v>
      </c>
      <c r="B267" s="20" t="s">
        <v>11</v>
      </c>
      <c r="C267" s="20">
        <v>82</v>
      </c>
      <c r="D267" s="21" t="s">
        <v>61</v>
      </c>
      <c r="E267" s="21" t="s">
        <v>13</v>
      </c>
      <c r="F267" s="20">
        <v>0.2</v>
      </c>
      <c r="G267" s="22">
        <f>C267*F267</f>
        <v>16.400000000000002</v>
      </c>
    </row>
    <row r="268" spans="1:7" ht="15" customHeight="1">
      <c r="A268" s="19" t="s">
        <v>87</v>
      </c>
      <c r="B268" s="20" t="s">
        <v>14</v>
      </c>
      <c r="C268" s="20">
        <v>83</v>
      </c>
      <c r="D268" s="21" t="s">
        <v>61</v>
      </c>
      <c r="E268" s="21" t="s">
        <v>13</v>
      </c>
      <c r="F268" s="20">
        <v>0.25</v>
      </c>
      <c r="G268" s="22">
        <f>C268*F268</f>
        <v>20.75</v>
      </c>
    </row>
    <row r="269" spans="1:7" ht="15" customHeight="1">
      <c r="A269" s="19" t="s">
        <v>87</v>
      </c>
      <c r="B269" s="20" t="s">
        <v>16</v>
      </c>
      <c r="C269" s="20">
        <v>80</v>
      </c>
      <c r="D269" s="21" t="s">
        <v>57</v>
      </c>
      <c r="E269" s="21" t="s">
        <v>18</v>
      </c>
      <c r="F269" s="20">
        <v>0.4</v>
      </c>
      <c r="G269" s="22">
        <f>C269*F269</f>
        <v>32</v>
      </c>
    </row>
    <row r="270" spans="1:7" ht="15" customHeight="1">
      <c r="A270" s="19" t="s">
        <v>87</v>
      </c>
      <c r="B270" s="20" t="s">
        <v>19</v>
      </c>
      <c r="C270" s="20">
        <v>85</v>
      </c>
      <c r="D270" s="21" t="s">
        <v>88</v>
      </c>
      <c r="E270" s="21" t="s">
        <v>21</v>
      </c>
      <c r="F270" s="20">
        <v>0.2</v>
      </c>
      <c r="G270" s="22">
        <f>C270*F270</f>
        <v>17</v>
      </c>
    </row>
    <row r="271" spans="1:7" ht="15" customHeight="1">
      <c r="A271" s="19" t="s">
        <v>87</v>
      </c>
      <c r="B271" s="20" t="s">
        <v>22</v>
      </c>
      <c r="C271" s="20">
        <v>79</v>
      </c>
      <c r="D271" s="21" t="s">
        <v>58</v>
      </c>
      <c r="E271" s="21" t="s">
        <v>24</v>
      </c>
      <c r="F271" s="20">
        <v>0.3</v>
      </c>
      <c r="G271" s="22">
        <f>C271*F271</f>
        <v>23.7</v>
      </c>
    </row>
    <row r="272" spans="1:7" ht="15" customHeight="1">
      <c r="A272" s="19" t="s">
        <v>87</v>
      </c>
      <c r="B272" s="20" t="s">
        <v>25</v>
      </c>
      <c r="C272" s="20">
        <v>85</v>
      </c>
      <c r="D272" s="21" t="s">
        <v>89</v>
      </c>
      <c r="E272" s="21" t="s">
        <v>27</v>
      </c>
      <c r="F272" s="20">
        <v>0.5</v>
      </c>
      <c r="G272" s="22">
        <f>C272*F272</f>
        <v>42.5</v>
      </c>
    </row>
    <row r="273" spans="1:7" ht="15" customHeight="1">
      <c r="A273" s="19" t="s">
        <v>87</v>
      </c>
      <c r="B273" s="20" t="s">
        <v>28</v>
      </c>
      <c r="C273" s="20">
        <v>86</v>
      </c>
      <c r="D273" s="21" t="s">
        <v>90</v>
      </c>
      <c r="E273" s="21" t="s">
        <v>30</v>
      </c>
      <c r="F273" s="20">
        <v>0.1</v>
      </c>
      <c r="G273" s="22">
        <f>C273*F273</f>
        <v>8.6</v>
      </c>
    </row>
    <row r="274" spans="1:7" ht="15" customHeight="1">
      <c r="A274" s="19" t="s">
        <v>87</v>
      </c>
      <c r="B274" s="20" t="s">
        <v>31</v>
      </c>
      <c r="C274" s="20">
        <v>84</v>
      </c>
      <c r="D274" s="21" t="s">
        <v>62</v>
      </c>
      <c r="E274" s="21" t="s">
        <v>30</v>
      </c>
      <c r="F274" s="20">
        <v>0.2</v>
      </c>
      <c r="G274" s="22">
        <f>C274*F274</f>
        <v>16.8</v>
      </c>
    </row>
    <row r="275" spans="1:7" ht="15" customHeight="1">
      <c r="A275" s="19" t="s">
        <v>87</v>
      </c>
      <c r="B275" s="20" t="s">
        <v>33</v>
      </c>
      <c r="C275" s="20">
        <v>83</v>
      </c>
      <c r="D275" s="21" t="s">
        <v>63</v>
      </c>
      <c r="E275" s="21" t="s">
        <v>35</v>
      </c>
      <c r="F275" s="20">
        <v>0.35</v>
      </c>
      <c r="G275" s="22">
        <f>C275*F275</f>
        <v>29.049999999999997</v>
      </c>
    </row>
    <row r="276" spans="1:7" ht="15" customHeight="1">
      <c r="A276" s="19" t="s">
        <v>87</v>
      </c>
      <c r="B276" s="20" t="s">
        <v>36</v>
      </c>
      <c r="C276" s="20">
        <v>82</v>
      </c>
      <c r="D276" s="21" t="s">
        <v>59</v>
      </c>
      <c r="E276" s="21" t="s">
        <v>38</v>
      </c>
      <c r="F276" s="20">
        <v>0.35</v>
      </c>
      <c r="G276" s="22">
        <f>C276*F276</f>
        <v>28.7</v>
      </c>
    </row>
    <row r="277" spans="1:7" ht="15" customHeight="1">
      <c r="A277" s="19" t="s">
        <v>91</v>
      </c>
      <c r="B277" s="20" t="s">
        <v>8</v>
      </c>
      <c r="C277" s="20">
        <v>80</v>
      </c>
      <c r="D277" s="21" t="s">
        <v>56</v>
      </c>
      <c r="E277" s="21" t="s">
        <v>10</v>
      </c>
      <c r="F277" s="20">
        <v>0.15</v>
      </c>
      <c r="G277" s="22">
        <f>C277*F277</f>
        <v>12</v>
      </c>
    </row>
    <row r="278" spans="1:7" ht="15" customHeight="1">
      <c r="A278" s="19" t="s">
        <v>91</v>
      </c>
      <c r="B278" s="20" t="s">
        <v>11</v>
      </c>
      <c r="C278" s="20">
        <v>82</v>
      </c>
      <c r="D278" s="21" t="s">
        <v>61</v>
      </c>
      <c r="E278" s="21" t="s">
        <v>13</v>
      </c>
      <c r="F278" s="20">
        <v>0.2</v>
      </c>
      <c r="G278" s="22">
        <f>C278*F278</f>
        <v>16.400000000000002</v>
      </c>
    </row>
    <row r="279" spans="1:7" ht="15" customHeight="1">
      <c r="A279" s="19" t="s">
        <v>91</v>
      </c>
      <c r="B279" s="20" t="s">
        <v>14</v>
      </c>
      <c r="C279" s="20">
        <v>78</v>
      </c>
      <c r="D279" s="21" t="s">
        <v>61</v>
      </c>
      <c r="E279" s="21" t="s">
        <v>13</v>
      </c>
      <c r="F279" s="20">
        <v>0.25</v>
      </c>
      <c r="G279" s="22">
        <f>C279*F279</f>
        <v>19.5</v>
      </c>
    </row>
    <row r="280" spans="1:7" ht="15" customHeight="1">
      <c r="A280" s="19" t="s">
        <v>91</v>
      </c>
      <c r="B280" s="20" t="s">
        <v>16</v>
      </c>
      <c r="C280" s="20">
        <v>76</v>
      </c>
      <c r="D280" s="21" t="s">
        <v>57</v>
      </c>
      <c r="E280" s="21" t="s">
        <v>18</v>
      </c>
      <c r="F280" s="20">
        <v>0.4</v>
      </c>
      <c r="G280" s="22">
        <f>C280*F280</f>
        <v>30.400000000000002</v>
      </c>
    </row>
    <row r="281" spans="1:7" ht="15" customHeight="1">
      <c r="A281" s="19" t="s">
        <v>91</v>
      </c>
      <c r="B281" s="20" t="s">
        <v>19</v>
      </c>
      <c r="C281" s="20">
        <v>79</v>
      </c>
      <c r="D281" s="21" t="s">
        <v>66</v>
      </c>
      <c r="E281" s="21" t="s">
        <v>21</v>
      </c>
      <c r="F281" s="20">
        <v>0.2</v>
      </c>
      <c r="G281" s="22">
        <f>C281*F281</f>
        <v>15.8</v>
      </c>
    </row>
    <row r="282" spans="1:7" ht="15" customHeight="1">
      <c r="A282" s="19" t="s">
        <v>91</v>
      </c>
      <c r="B282" s="20" t="s">
        <v>22</v>
      </c>
      <c r="C282" s="20">
        <v>80</v>
      </c>
      <c r="D282" s="21" t="s">
        <v>58</v>
      </c>
      <c r="E282" s="21" t="s">
        <v>24</v>
      </c>
      <c r="F282" s="20">
        <v>0.3</v>
      </c>
      <c r="G282" s="22">
        <f>C282*F282</f>
        <v>24</v>
      </c>
    </row>
    <row r="283" spans="1:7" ht="15" customHeight="1">
      <c r="A283" s="19" t="s">
        <v>91</v>
      </c>
      <c r="B283" s="20" t="s">
        <v>25</v>
      </c>
      <c r="C283" s="20">
        <v>79</v>
      </c>
      <c r="D283" s="21" t="s">
        <v>67</v>
      </c>
      <c r="E283" s="21" t="s">
        <v>27</v>
      </c>
      <c r="F283" s="20">
        <v>0.5</v>
      </c>
      <c r="G283" s="22">
        <f>C283*F283</f>
        <v>39.5</v>
      </c>
    </row>
    <row r="284" spans="1:7" ht="15" customHeight="1">
      <c r="A284" s="19" t="s">
        <v>91</v>
      </c>
      <c r="B284" s="20" t="s">
        <v>28</v>
      </c>
      <c r="C284" s="20">
        <v>77</v>
      </c>
      <c r="D284" s="21" t="s">
        <v>62</v>
      </c>
      <c r="E284" s="21" t="s">
        <v>30</v>
      </c>
      <c r="F284" s="20">
        <v>0.1</v>
      </c>
      <c r="G284" s="22">
        <f>C284*F284</f>
        <v>7.7</v>
      </c>
    </row>
    <row r="285" spans="1:7" ht="15" customHeight="1">
      <c r="A285" s="19" t="s">
        <v>91</v>
      </c>
      <c r="B285" s="20" t="s">
        <v>31</v>
      </c>
      <c r="C285" s="20">
        <v>80</v>
      </c>
      <c r="D285" s="21" t="s">
        <v>62</v>
      </c>
      <c r="E285" s="21" t="s">
        <v>30</v>
      </c>
      <c r="F285" s="20">
        <v>0.2</v>
      </c>
      <c r="G285" s="22">
        <f>C285*F285</f>
        <v>16</v>
      </c>
    </row>
    <row r="286" spans="1:7" ht="15" customHeight="1">
      <c r="A286" s="19" t="s">
        <v>91</v>
      </c>
      <c r="B286" s="20" t="s">
        <v>33</v>
      </c>
      <c r="C286" s="20">
        <v>81</v>
      </c>
      <c r="D286" s="21" t="s">
        <v>63</v>
      </c>
      <c r="E286" s="21" t="s">
        <v>35</v>
      </c>
      <c r="F286" s="20">
        <v>0.35</v>
      </c>
      <c r="G286" s="22">
        <f>C286*F286</f>
        <v>28.349999999999998</v>
      </c>
    </row>
    <row r="287" spans="1:7" ht="15" customHeight="1">
      <c r="A287" s="19" t="s">
        <v>91</v>
      </c>
      <c r="B287" s="20" t="s">
        <v>36</v>
      </c>
      <c r="C287" s="20">
        <v>80</v>
      </c>
      <c r="D287" s="21" t="s">
        <v>59</v>
      </c>
      <c r="E287" s="21" t="s">
        <v>38</v>
      </c>
      <c r="F287" s="20">
        <v>0.35</v>
      </c>
      <c r="G287" s="22">
        <f>C287*F287</f>
        <v>28</v>
      </c>
    </row>
    <row r="288" spans="1:7" ht="15" customHeight="1">
      <c r="A288" s="19" t="s">
        <v>92</v>
      </c>
      <c r="B288" s="20" t="s">
        <v>8</v>
      </c>
      <c r="C288" s="20">
        <v>74</v>
      </c>
      <c r="D288" s="21" t="s">
        <v>40</v>
      </c>
      <c r="E288" s="21" t="s">
        <v>10</v>
      </c>
      <c r="F288" s="20">
        <v>0.15</v>
      </c>
      <c r="G288" s="22">
        <f>C288*F288</f>
        <v>11.1</v>
      </c>
    </row>
    <row r="289" spans="1:7" ht="15" customHeight="1">
      <c r="A289" s="19" t="s">
        <v>92</v>
      </c>
      <c r="B289" s="20" t="s">
        <v>11</v>
      </c>
      <c r="C289" s="20">
        <v>75</v>
      </c>
      <c r="D289" s="21" t="s">
        <v>61</v>
      </c>
      <c r="E289" s="21" t="s">
        <v>13</v>
      </c>
      <c r="F289" s="20">
        <v>0.2</v>
      </c>
      <c r="G289" s="22">
        <f>C289*F289</f>
        <v>15</v>
      </c>
    </row>
    <row r="290" spans="1:7" ht="15" customHeight="1">
      <c r="A290" s="19" t="s">
        <v>92</v>
      </c>
      <c r="B290" s="20" t="s">
        <v>14</v>
      </c>
      <c r="C290" s="20">
        <v>76</v>
      </c>
      <c r="D290" s="21" t="s">
        <v>61</v>
      </c>
      <c r="E290" s="21" t="s">
        <v>13</v>
      </c>
      <c r="F290" s="20">
        <v>0.25</v>
      </c>
      <c r="G290" s="22">
        <f>C290*F290</f>
        <v>19</v>
      </c>
    </row>
    <row r="291" spans="1:7" ht="15" customHeight="1">
      <c r="A291" s="19" t="s">
        <v>92</v>
      </c>
      <c r="B291" s="20" t="s">
        <v>16</v>
      </c>
      <c r="C291" s="20">
        <v>71</v>
      </c>
      <c r="D291" s="21" t="s">
        <v>42</v>
      </c>
      <c r="E291" s="21" t="s">
        <v>18</v>
      </c>
      <c r="F291" s="20">
        <v>0.4</v>
      </c>
      <c r="G291" s="22">
        <f>C291*F291</f>
        <v>28.400000000000002</v>
      </c>
    </row>
    <row r="292" spans="1:7" ht="15" customHeight="1">
      <c r="A292" s="19" t="s">
        <v>92</v>
      </c>
      <c r="B292" s="20" t="s">
        <v>19</v>
      </c>
      <c r="C292" s="20">
        <v>72</v>
      </c>
      <c r="D292" s="21" t="s">
        <v>43</v>
      </c>
      <c r="E292" s="21" t="s">
        <v>21</v>
      </c>
      <c r="F292" s="20">
        <v>0.2</v>
      </c>
      <c r="G292" s="22">
        <f>C292*F292</f>
        <v>14.4</v>
      </c>
    </row>
    <row r="293" spans="1:7" ht="15" customHeight="1">
      <c r="A293" s="19" t="s">
        <v>92</v>
      </c>
      <c r="B293" s="20" t="s">
        <v>22</v>
      </c>
      <c r="C293" s="20">
        <v>72</v>
      </c>
      <c r="D293" s="21" t="s">
        <v>44</v>
      </c>
      <c r="E293" s="21" t="s">
        <v>24</v>
      </c>
      <c r="F293" s="20">
        <v>0.3</v>
      </c>
      <c r="G293" s="22">
        <f>C293*F293</f>
        <v>21.599999999999998</v>
      </c>
    </row>
    <row r="294" spans="1:7" ht="15" customHeight="1">
      <c r="A294" s="19" t="s">
        <v>92</v>
      </c>
      <c r="B294" s="20" t="s">
        <v>25</v>
      </c>
      <c r="C294" s="20">
        <v>70</v>
      </c>
      <c r="D294" s="21" t="s">
        <v>45</v>
      </c>
      <c r="E294" s="21" t="s">
        <v>27</v>
      </c>
      <c r="F294" s="20">
        <v>0.5</v>
      </c>
      <c r="G294" s="22">
        <f>C294*F294</f>
        <v>35</v>
      </c>
    </row>
    <row r="295" spans="1:7" ht="15" customHeight="1">
      <c r="A295" s="19" t="s">
        <v>92</v>
      </c>
      <c r="B295" s="20" t="s">
        <v>28</v>
      </c>
      <c r="C295" s="20">
        <v>76</v>
      </c>
      <c r="D295" s="21" t="s">
        <v>62</v>
      </c>
      <c r="E295" s="21" t="s">
        <v>30</v>
      </c>
      <c r="F295" s="20">
        <v>0.1</v>
      </c>
      <c r="G295" s="22">
        <f>C295*F295</f>
        <v>7.6000000000000005</v>
      </c>
    </row>
    <row r="296" spans="1:7" ht="15" customHeight="1">
      <c r="A296" s="19" t="s">
        <v>92</v>
      </c>
      <c r="B296" s="20" t="s">
        <v>31</v>
      </c>
      <c r="C296" s="20">
        <v>70</v>
      </c>
      <c r="D296" s="21" t="s">
        <v>46</v>
      </c>
      <c r="E296" s="21" t="s">
        <v>30</v>
      </c>
      <c r="F296" s="20">
        <v>0.2</v>
      </c>
      <c r="G296" s="22">
        <f>C296*F296</f>
        <v>14</v>
      </c>
    </row>
    <row r="297" spans="1:7" ht="15" customHeight="1">
      <c r="A297" s="19" t="s">
        <v>92</v>
      </c>
      <c r="B297" s="20" t="s">
        <v>33</v>
      </c>
      <c r="C297" s="20">
        <v>72</v>
      </c>
      <c r="D297" s="21" t="s">
        <v>47</v>
      </c>
      <c r="E297" s="21" t="s">
        <v>35</v>
      </c>
      <c r="F297" s="20">
        <v>0.35</v>
      </c>
      <c r="G297" s="22">
        <f>C297*F297</f>
        <v>25.2</v>
      </c>
    </row>
    <row r="298" spans="1:7" ht="15" customHeight="1">
      <c r="A298" s="19" t="s">
        <v>92</v>
      </c>
      <c r="B298" s="20" t="s">
        <v>36</v>
      </c>
      <c r="C298" s="20">
        <v>70</v>
      </c>
      <c r="D298" s="21" t="s">
        <v>51</v>
      </c>
      <c r="E298" s="21" t="s">
        <v>38</v>
      </c>
      <c r="F298" s="20">
        <v>0.35</v>
      </c>
      <c r="G298" s="22">
        <f>C298*F298</f>
        <v>24.5</v>
      </c>
    </row>
    <row r="299" spans="1:7" ht="15" customHeight="1">
      <c r="A299" s="19" t="s">
        <v>93</v>
      </c>
      <c r="B299" s="20" t="s">
        <v>8</v>
      </c>
      <c r="C299" s="20">
        <v>72</v>
      </c>
      <c r="D299" s="21" t="s">
        <v>40</v>
      </c>
      <c r="E299" s="21" t="s">
        <v>10</v>
      </c>
      <c r="F299" s="20">
        <v>0.15</v>
      </c>
      <c r="G299" s="22">
        <f>C299*F299</f>
        <v>10.799999999999999</v>
      </c>
    </row>
    <row r="300" spans="1:7" ht="15" customHeight="1">
      <c r="A300" s="19" t="s">
        <v>93</v>
      </c>
      <c r="B300" s="20" t="s">
        <v>11</v>
      </c>
      <c r="C300" s="20">
        <v>74</v>
      </c>
      <c r="D300" s="21" t="s">
        <v>41</v>
      </c>
      <c r="E300" s="21" t="s">
        <v>13</v>
      </c>
      <c r="F300" s="20">
        <v>0.2</v>
      </c>
      <c r="G300" s="22">
        <f>C300*F300</f>
        <v>14.8</v>
      </c>
    </row>
    <row r="301" spans="1:7" ht="15" customHeight="1">
      <c r="A301" s="19" t="s">
        <v>93</v>
      </c>
      <c r="B301" s="20" t="s">
        <v>14</v>
      </c>
      <c r="C301" s="20">
        <v>69</v>
      </c>
      <c r="D301" s="21" t="s">
        <v>41</v>
      </c>
      <c r="E301" s="21" t="s">
        <v>13</v>
      </c>
      <c r="F301" s="20">
        <v>0.25</v>
      </c>
      <c r="G301" s="22">
        <f>C301*F301</f>
        <v>17.25</v>
      </c>
    </row>
    <row r="302" spans="1:7" ht="15" customHeight="1">
      <c r="A302" s="19" t="s">
        <v>93</v>
      </c>
      <c r="B302" s="20" t="s">
        <v>16</v>
      </c>
      <c r="C302" s="20">
        <v>74</v>
      </c>
      <c r="D302" s="21" t="s">
        <v>42</v>
      </c>
      <c r="E302" s="21" t="s">
        <v>18</v>
      </c>
      <c r="F302" s="20">
        <v>0.4</v>
      </c>
      <c r="G302" s="22">
        <f>C302*F302</f>
        <v>29.6</v>
      </c>
    </row>
    <row r="303" spans="1:7" ht="15" customHeight="1">
      <c r="A303" s="19" t="s">
        <v>93</v>
      </c>
      <c r="B303" s="20" t="s">
        <v>19</v>
      </c>
      <c r="C303" s="20">
        <v>77</v>
      </c>
      <c r="D303" s="21" t="s">
        <v>66</v>
      </c>
      <c r="E303" s="21" t="s">
        <v>21</v>
      </c>
      <c r="F303" s="20">
        <v>0.2</v>
      </c>
      <c r="G303" s="22">
        <f>C303*F303</f>
        <v>15.4</v>
      </c>
    </row>
    <row r="304" spans="1:7" ht="15" customHeight="1">
      <c r="A304" s="19" t="s">
        <v>93</v>
      </c>
      <c r="B304" s="20" t="s">
        <v>22</v>
      </c>
      <c r="C304" s="20">
        <v>76</v>
      </c>
      <c r="D304" s="21" t="s">
        <v>58</v>
      </c>
      <c r="E304" s="21" t="s">
        <v>24</v>
      </c>
      <c r="F304" s="20">
        <v>0.3</v>
      </c>
      <c r="G304" s="22">
        <f>C304*F304</f>
        <v>22.8</v>
      </c>
    </row>
    <row r="305" spans="1:7" ht="15" customHeight="1">
      <c r="A305" s="19" t="s">
        <v>93</v>
      </c>
      <c r="B305" s="20" t="s">
        <v>25</v>
      </c>
      <c r="C305" s="20">
        <v>76</v>
      </c>
      <c r="D305" s="21" t="s">
        <v>67</v>
      </c>
      <c r="E305" s="21" t="s">
        <v>27</v>
      </c>
      <c r="F305" s="20">
        <v>0.5</v>
      </c>
      <c r="G305" s="22">
        <f>C305*F305</f>
        <v>38</v>
      </c>
    </row>
    <row r="306" spans="1:7" ht="15" customHeight="1">
      <c r="A306" s="19" t="s">
        <v>93</v>
      </c>
      <c r="B306" s="20" t="s">
        <v>28</v>
      </c>
      <c r="C306" s="20">
        <v>70</v>
      </c>
      <c r="D306" s="21" t="s">
        <v>46</v>
      </c>
      <c r="E306" s="21" t="s">
        <v>30</v>
      </c>
      <c r="F306" s="20">
        <v>0.1</v>
      </c>
      <c r="G306" s="22">
        <f>C306*F306</f>
        <v>7</v>
      </c>
    </row>
    <row r="307" spans="1:7" ht="15" customHeight="1">
      <c r="A307" s="19" t="s">
        <v>93</v>
      </c>
      <c r="B307" s="20" t="s">
        <v>31</v>
      </c>
      <c r="C307" s="20">
        <v>71</v>
      </c>
      <c r="D307" s="21" t="s">
        <v>46</v>
      </c>
      <c r="E307" s="21" t="s">
        <v>30</v>
      </c>
      <c r="F307" s="20">
        <v>0.2</v>
      </c>
      <c r="G307" s="22">
        <f>C307*F307</f>
        <v>14.200000000000001</v>
      </c>
    </row>
    <row r="308" spans="1:7" ht="15" customHeight="1">
      <c r="A308" s="19" t="s">
        <v>93</v>
      </c>
      <c r="B308" s="20" t="s">
        <v>33</v>
      </c>
      <c r="C308" s="20">
        <v>69</v>
      </c>
      <c r="D308" s="21" t="s">
        <v>47</v>
      </c>
      <c r="E308" s="21" t="s">
        <v>35</v>
      </c>
      <c r="F308" s="20">
        <v>0.35</v>
      </c>
      <c r="G308" s="22">
        <f>C308*F308</f>
        <v>24.15</v>
      </c>
    </row>
    <row r="309" spans="1:7" ht="15" customHeight="1">
      <c r="A309" s="19" t="s">
        <v>93</v>
      </c>
      <c r="B309" s="20" t="s">
        <v>36</v>
      </c>
      <c r="C309" s="20">
        <v>69</v>
      </c>
      <c r="D309" s="21" t="s">
        <v>51</v>
      </c>
      <c r="E309" s="21" t="s">
        <v>38</v>
      </c>
      <c r="F309" s="20">
        <v>0.35</v>
      </c>
      <c r="G309" s="22">
        <f>C309*F309</f>
        <v>24.15</v>
      </c>
    </row>
    <row r="310" spans="1:7" ht="15" customHeight="1">
      <c r="A310" s="19" t="s">
        <v>94</v>
      </c>
      <c r="B310" s="20" t="s">
        <v>8</v>
      </c>
      <c r="C310" s="20">
        <v>56</v>
      </c>
      <c r="D310" s="21" t="s">
        <v>9</v>
      </c>
      <c r="E310" s="21" t="s">
        <v>10</v>
      </c>
      <c r="F310" s="20">
        <v>0.15</v>
      </c>
      <c r="G310" s="22">
        <f>C310*F310</f>
        <v>8.4</v>
      </c>
    </row>
    <row r="311" spans="1:7" ht="15" customHeight="1">
      <c r="A311" s="19" t="s">
        <v>94</v>
      </c>
      <c r="B311" s="20" t="s">
        <v>11</v>
      </c>
      <c r="C311" s="20">
        <v>60</v>
      </c>
      <c r="D311" s="21" t="s">
        <v>15</v>
      </c>
      <c r="E311" s="21" t="s">
        <v>13</v>
      </c>
      <c r="F311" s="20">
        <v>0.2</v>
      </c>
      <c r="G311" s="22">
        <f>C311*F311</f>
        <v>12</v>
      </c>
    </row>
    <row r="312" spans="1:7" ht="15" customHeight="1">
      <c r="A312" s="19" t="s">
        <v>94</v>
      </c>
      <c r="B312" s="20" t="s">
        <v>14</v>
      </c>
      <c r="C312" s="20">
        <v>62</v>
      </c>
      <c r="D312" s="21" t="s">
        <v>15</v>
      </c>
      <c r="E312" s="21" t="s">
        <v>13</v>
      </c>
      <c r="F312" s="20">
        <v>0.25</v>
      </c>
      <c r="G312" s="22">
        <f>C312*F312</f>
        <v>15.5</v>
      </c>
    </row>
    <row r="313" spans="1:7" ht="15" customHeight="1">
      <c r="A313" s="19" t="s">
        <v>94</v>
      </c>
      <c r="B313" s="20" t="s">
        <v>16</v>
      </c>
      <c r="C313" s="20">
        <v>58</v>
      </c>
      <c r="D313" s="21" t="s">
        <v>17</v>
      </c>
      <c r="E313" s="21" t="s">
        <v>18</v>
      </c>
      <c r="F313" s="20">
        <v>0.4</v>
      </c>
      <c r="G313" s="22">
        <f>C313*F313</f>
        <v>23.200000000000003</v>
      </c>
    </row>
    <row r="314" spans="1:7" ht="15" customHeight="1">
      <c r="A314" s="19" t="s">
        <v>94</v>
      </c>
      <c r="B314" s="20" t="s">
        <v>19</v>
      </c>
      <c r="C314" s="20">
        <v>57</v>
      </c>
      <c r="D314" s="21" t="s">
        <v>20</v>
      </c>
      <c r="E314" s="21" t="s">
        <v>21</v>
      </c>
      <c r="F314" s="20">
        <v>0.2</v>
      </c>
      <c r="G314" s="22">
        <f>C314*F314</f>
        <v>11.4</v>
      </c>
    </row>
    <row r="315" spans="1:7" ht="15" customHeight="1">
      <c r="A315" s="19" t="s">
        <v>94</v>
      </c>
      <c r="B315" s="20" t="s">
        <v>22</v>
      </c>
      <c r="C315" s="20">
        <v>62</v>
      </c>
      <c r="D315" s="21" t="s">
        <v>23</v>
      </c>
      <c r="E315" s="21" t="s">
        <v>24</v>
      </c>
      <c r="F315" s="20">
        <v>0.3</v>
      </c>
      <c r="G315" s="22">
        <f>C315*F315</f>
        <v>18.599999999999998</v>
      </c>
    </row>
    <row r="316" spans="1:7" ht="15" customHeight="1">
      <c r="A316" s="19" t="s">
        <v>94</v>
      </c>
      <c r="B316" s="20" t="s">
        <v>25</v>
      </c>
      <c r="C316" s="20">
        <v>59</v>
      </c>
      <c r="D316" s="21" t="s">
        <v>50</v>
      </c>
      <c r="E316" s="21" t="s">
        <v>27</v>
      </c>
      <c r="F316" s="20">
        <v>0.5</v>
      </c>
      <c r="G316" s="22">
        <f>C316*F316</f>
        <v>29.5</v>
      </c>
    </row>
    <row r="317" spans="1:7" ht="15" customHeight="1">
      <c r="A317" s="19" t="s">
        <v>94</v>
      </c>
      <c r="B317" s="20" t="s">
        <v>28</v>
      </c>
      <c r="C317" s="20">
        <v>59</v>
      </c>
      <c r="D317" s="21" t="s">
        <v>29</v>
      </c>
      <c r="E317" s="21" t="s">
        <v>30</v>
      </c>
      <c r="F317" s="20">
        <v>0.1</v>
      </c>
      <c r="G317" s="22">
        <f>C317*F317</f>
        <v>5.9</v>
      </c>
    </row>
    <row r="318" spans="1:7" ht="15" customHeight="1">
      <c r="A318" s="19" t="s">
        <v>94</v>
      </c>
      <c r="B318" s="20" t="s">
        <v>31</v>
      </c>
      <c r="C318" s="20">
        <v>63</v>
      </c>
      <c r="D318" s="21" t="s">
        <v>29</v>
      </c>
      <c r="E318" s="21" t="s">
        <v>30</v>
      </c>
      <c r="F318" s="20">
        <v>0.2</v>
      </c>
      <c r="G318" s="22">
        <f>C318*F318</f>
        <v>12.600000000000001</v>
      </c>
    </row>
    <row r="319" spans="1:7" ht="15" customHeight="1">
      <c r="A319" s="19" t="s">
        <v>94</v>
      </c>
      <c r="B319" s="20" t="s">
        <v>33</v>
      </c>
      <c r="C319" s="20">
        <v>57</v>
      </c>
      <c r="D319" s="21" t="s">
        <v>34</v>
      </c>
      <c r="E319" s="21" t="s">
        <v>35</v>
      </c>
      <c r="F319" s="20">
        <v>0.35</v>
      </c>
      <c r="G319" s="22">
        <f>C319*F319</f>
        <v>19.95</v>
      </c>
    </row>
    <row r="320" spans="1:7" ht="15" customHeight="1">
      <c r="A320" s="19" t="s">
        <v>94</v>
      </c>
      <c r="B320" s="20" t="s">
        <v>36</v>
      </c>
      <c r="C320" s="20">
        <v>60</v>
      </c>
      <c r="D320" s="21" t="s">
        <v>48</v>
      </c>
      <c r="E320" s="21" t="s">
        <v>38</v>
      </c>
      <c r="F320" s="20">
        <v>0.35</v>
      </c>
      <c r="G320" s="22">
        <f>C320*F320</f>
        <v>21</v>
      </c>
    </row>
    <row r="321" spans="1:7" ht="15" customHeight="1">
      <c r="A321" s="19" t="s">
        <v>95</v>
      </c>
      <c r="B321" s="20" t="s">
        <v>8</v>
      </c>
      <c r="C321" s="20">
        <v>67</v>
      </c>
      <c r="D321" s="21" t="s">
        <v>40</v>
      </c>
      <c r="E321" s="21" t="s">
        <v>10</v>
      </c>
      <c r="F321" s="20">
        <v>0.15</v>
      </c>
      <c r="G321" s="22">
        <f>C321*F321</f>
        <v>10.049999999999999</v>
      </c>
    </row>
    <row r="322" spans="1:7" ht="15" customHeight="1">
      <c r="A322" s="19" t="s">
        <v>95</v>
      </c>
      <c r="B322" s="20" t="s">
        <v>11</v>
      </c>
      <c r="C322" s="20">
        <v>67</v>
      </c>
      <c r="D322" s="21" t="s">
        <v>41</v>
      </c>
      <c r="E322" s="21" t="s">
        <v>13</v>
      </c>
      <c r="F322" s="20">
        <v>0.2</v>
      </c>
      <c r="G322" s="22">
        <f>C322*F322</f>
        <v>13.4</v>
      </c>
    </row>
    <row r="323" spans="1:7" ht="15" customHeight="1">
      <c r="A323" s="19" t="s">
        <v>95</v>
      </c>
      <c r="B323" s="20" t="s">
        <v>14</v>
      </c>
      <c r="C323" s="20">
        <v>62</v>
      </c>
      <c r="D323" s="21" t="s">
        <v>15</v>
      </c>
      <c r="E323" s="21" t="s">
        <v>13</v>
      </c>
      <c r="F323" s="20">
        <v>0.25</v>
      </c>
      <c r="G323" s="22">
        <f>C323*F323</f>
        <v>15.5</v>
      </c>
    </row>
    <row r="324" spans="1:7" ht="15" customHeight="1">
      <c r="A324" s="19" t="s">
        <v>95</v>
      </c>
      <c r="B324" s="20" t="s">
        <v>16</v>
      </c>
      <c r="C324" s="20">
        <v>63</v>
      </c>
      <c r="D324" s="21" t="s">
        <v>17</v>
      </c>
      <c r="E324" s="21" t="s">
        <v>18</v>
      </c>
      <c r="F324" s="20">
        <v>0.4</v>
      </c>
      <c r="G324" s="22">
        <f>C324*F324</f>
        <v>25.200000000000003</v>
      </c>
    </row>
    <row r="325" spans="1:7" ht="15" customHeight="1">
      <c r="A325" s="19" t="s">
        <v>95</v>
      </c>
      <c r="B325" s="20" t="s">
        <v>19</v>
      </c>
      <c r="C325" s="20">
        <v>63</v>
      </c>
      <c r="D325" s="21" t="s">
        <v>20</v>
      </c>
      <c r="E325" s="21" t="s">
        <v>21</v>
      </c>
      <c r="F325" s="20">
        <v>0.2</v>
      </c>
      <c r="G325" s="22">
        <f>C325*F325</f>
        <v>12.600000000000001</v>
      </c>
    </row>
    <row r="326" spans="1:7" ht="15" customHeight="1">
      <c r="A326" s="19" t="s">
        <v>95</v>
      </c>
      <c r="B326" s="20" t="s">
        <v>22</v>
      </c>
      <c r="C326" s="20">
        <v>66</v>
      </c>
      <c r="D326" s="21" t="s">
        <v>44</v>
      </c>
      <c r="E326" s="21" t="s">
        <v>24</v>
      </c>
      <c r="F326" s="20">
        <v>0.3</v>
      </c>
      <c r="G326" s="22">
        <f>C326*F326</f>
        <v>19.8</v>
      </c>
    </row>
    <row r="327" spans="1:7" ht="15" customHeight="1">
      <c r="A327" s="19" t="s">
        <v>95</v>
      </c>
      <c r="B327" s="20" t="s">
        <v>25</v>
      </c>
      <c r="C327" s="20">
        <v>63</v>
      </c>
      <c r="D327" s="21" t="s">
        <v>50</v>
      </c>
      <c r="E327" s="21" t="s">
        <v>27</v>
      </c>
      <c r="F327" s="20">
        <v>0.5</v>
      </c>
      <c r="G327" s="22">
        <f>C327*F327</f>
        <v>31.5</v>
      </c>
    </row>
    <row r="328" spans="1:7" ht="15" customHeight="1">
      <c r="A328" s="19" t="s">
        <v>95</v>
      </c>
      <c r="B328" s="20" t="s">
        <v>28</v>
      </c>
      <c r="C328" s="20">
        <v>63</v>
      </c>
      <c r="D328" s="21" t="s">
        <v>29</v>
      </c>
      <c r="E328" s="21" t="s">
        <v>30</v>
      </c>
      <c r="F328" s="20">
        <v>0.1</v>
      </c>
      <c r="G328" s="22">
        <f>C328*F328</f>
        <v>6.3000000000000007</v>
      </c>
    </row>
    <row r="329" spans="1:7" ht="15" customHeight="1">
      <c r="A329" s="19" t="s">
        <v>95</v>
      </c>
      <c r="B329" s="20" t="s">
        <v>31</v>
      </c>
      <c r="C329" s="20">
        <v>69</v>
      </c>
      <c r="D329" s="21" t="s">
        <v>46</v>
      </c>
      <c r="E329" s="21" t="s">
        <v>30</v>
      </c>
      <c r="F329" s="20">
        <v>0.2</v>
      </c>
      <c r="G329" s="22">
        <f>C329*F329</f>
        <v>13.8</v>
      </c>
    </row>
    <row r="330" spans="1:7" ht="15" customHeight="1">
      <c r="A330" s="19" t="s">
        <v>95</v>
      </c>
      <c r="B330" s="20" t="s">
        <v>33</v>
      </c>
      <c r="C330" s="20">
        <v>66</v>
      </c>
      <c r="D330" s="21" t="s">
        <v>47</v>
      </c>
      <c r="E330" s="21" t="s">
        <v>35</v>
      </c>
      <c r="F330" s="20">
        <v>0.35</v>
      </c>
      <c r="G330" s="22">
        <f>C330*F330</f>
        <v>23.099999999999998</v>
      </c>
    </row>
    <row r="331" spans="1:7" ht="15" customHeight="1">
      <c r="A331" s="19" t="s">
        <v>95</v>
      </c>
      <c r="B331" s="20" t="s">
        <v>36</v>
      </c>
      <c r="C331" s="20">
        <v>63</v>
      </c>
      <c r="D331" s="21" t="s">
        <v>48</v>
      </c>
      <c r="E331" s="21" t="s">
        <v>38</v>
      </c>
      <c r="F331" s="20">
        <v>0.35</v>
      </c>
      <c r="G331" s="22">
        <f>C331*F331</f>
        <v>22.049999999999997</v>
      </c>
    </row>
    <row r="332" spans="1:7" ht="15" customHeight="1">
      <c r="A332" s="19" t="s">
        <v>96</v>
      </c>
      <c r="B332" s="20" t="s">
        <v>8</v>
      </c>
      <c r="C332" s="20">
        <v>78</v>
      </c>
      <c r="D332" s="21" t="s">
        <v>56</v>
      </c>
      <c r="E332" s="21" t="s">
        <v>10</v>
      </c>
      <c r="F332" s="20">
        <v>0.15</v>
      </c>
      <c r="G332" s="22">
        <f>C332*F332</f>
        <v>11.7</v>
      </c>
    </row>
    <row r="333" spans="1:7" ht="15" customHeight="1">
      <c r="A333" s="19" t="s">
        <v>96</v>
      </c>
      <c r="B333" s="20" t="s">
        <v>11</v>
      </c>
      <c r="C333" s="20">
        <v>76</v>
      </c>
      <c r="D333" s="21" t="s">
        <v>61</v>
      </c>
      <c r="E333" s="21" t="s">
        <v>13</v>
      </c>
      <c r="F333" s="20">
        <v>0.2</v>
      </c>
      <c r="G333" s="22">
        <f>C333*F333</f>
        <v>15.200000000000001</v>
      </c>
    </row>
    <row r="334" spans="1:7" ht="15" customHeight="1">
      <c r="A334" s="19" t="s">
        <v>96</v>
      </c>
      <c r="B334" s="20" t="s">
        <v>14</v>
      </c>
      <c r="C334" s="20">
        <v>76</v>
      </c>
      <c r="D334" s="21" t="s">
        <v>61</v>
      </c>
      <c r="E334" s="21" t="s">
        <v>13</v>
      </c>
      <c r="F334" s="20">
        <v>0.25</v>
      </c>
      <c r="G334" s="22">
        <f>C334*F334</f>
        <v>19</v>
      </c>
    </row>
    <row r="335" spans="1:7" ht="15" customHeight="1">
      <c r="A335" s="19" t="s">
        <v>96</v>
      </c>
      <c r="B335" s="20" t="s">
        <v>16</v>
      </c>
      <c r="C335" s="20">
        <v>80</v>
      </c>
      <c r="D335" s="21" t="s">
        <v>57</v>
      </c>
      <c r="E335" s="21" t="s">
        <v>18</v>
      </c>
      <c r="F335" s="20">
        <v>0.4</v>
      </c>
      <c r="G335" s="22">
        <f>C335*F335</f>
        <v>32</v>
      </c>
    </row>
    <row r="336" spans="1:7" ht="15" customHeight="1">
      <c r="A336" s="19" t="s">
        <v>96</v>
      </c>
      <c r="B336" s="20" t="s">
        <v>19</v>
      </c>
      <c r="C336" s="20">
        <v>86</v>
      </c>
      <c r="D336" s="21" t="s">
        <v>88</v>
      </c>
      <c r="E336" s="21" t="s">
        <v>21</v>
      </c>
      <c r="F336" s="20">
        <v>0.2</v>
      </c>
      <c r="G336" s="22">
        <f>C336*F336</f>
        <v>17.2</v>
      </c>
    </row>
    <row r="337" spans="1:7" ht="15" customHeight="1">
      <c r="A337" s="19" t="s">
        <v>96</v>
      </c>
      <c r="B337" s="20" t="s">
        <v>22</v>
      </c>
      <c r="C337" s="20">
        <v>87</v>
      </c>
      <c r="D337" s="21" t="s">
        <v>97</v>
      </c>
      <c r="E337" s="21" t="s">
        <v>24</v>
      </c>
      <c r="F337" s="20">
        <v>0.3</v>
      </c>
      <c r="G337" s="22">
        <f>C337*F337</f>
        <v>26.099999999999998</v>
      </c>
    </row>
    <row r="338" spans="1:7" ht="15" customHeight="1">
      <c r="A338" s="19" t="s">
        <v>96</v>
      </c>
      <c r="B338" s="20" t="s">
        <v>25</v>
      </c>
      <c r="C338" s="20">
        <v>88</v>
      </c>
      <c r="D338" s="21" t="s">
        <v>89</v>
      </c>
      <c r="E338" s="21" t="s">
        <v>27</v>
      </c>
      <c r="F338" s="20">
        <v>0.5</v>
      </c>
      <c r="G338" s="22">
        <f>C338*F338</f>
        <v>44</v>
      </c>
    </row>
    <row r="339" spans="1:7" ht="15" customHeight="1">
      <c r="A339" s="19" t="s">
        <v>96</v>
      </c>
      <c r="B339" s="20" t="s">
        <v>28</v>
      </c>
      <c r="C339" s="20">
        <v>88</v>
      </c>
      <c r="D339" s="21" t="s">
        <v>90</v>
      </c>
      <c r="E339" s="21" t="s">
        <v>30</v>
      </c>
      <c r="F339" s="20">
        <v>0.1</v>
      </c>
      <c r="G339" s="22">
        <f>C339*F339</f>
        <v>8.8000000000000007</v>
      </c>
    </row>
    <row r="340" spans="1:7" ht="15" customHeight="1">
      <c r="A340" s="19" t="s">
        <v>96</v>
      </c>
      <c r="B340" s="20" t="s">
        <v>31</v>
      </c>
      <c r="C340" s="20">
        <v>87</v>
      </c>
      <c r="D340" s="21" t="s">
        <v>90</v>
      </c>
      <c r="E340" s="21" t="s">
        <v>30</v>
      </c>
      <c r="F340" s="20">
        <v>0.2</v>
      </c>
      <c r="G340" s="22">
        <f>C340*F340</f>
        <v>17.400000000000002</v>
      </c>
    </row>
    <row r="341" spans="1:7" ht="15" customHeight="1">
      <c r="A341" s="19" t="s">
        <v>96</v>
      </c>
      <c r="B341" s="20" t="s">
        <v>33</v>
      </c>
      <c r="C341" s="20">
        <v>87</v>
      </c>
      <c r="D341" s="21" t="s">
        <v>98</v>
      </c>
      <c r="E341" s="21" t="s">
        <v>35</v>
      </c>
      <c r="F341" s="20">
        <v>0.35</v>
      </c>
      <c r="G341" s="22">
        <f>C341*F341</f>
        <v>30.45</v>
      </c>
    </row>
    <row r="342" spans="1:7" ht="15" customHeight="1">
      <c r="A342" s="19" t="s">
        <v>96</v>
      </c>
      <c r="B342" s="20" t="s">
        <v>36</v>
      </c>
      <c r="C342" s="20">
        <v>83</v>
      </c>
      <c r="D342" s="21" t="s">
        <v>59</v>
      </c>
      <c r="E342" s="21" t="s">
        <v>38</v>
      </c>
      <c r="F342" s="20">
        <v>0.35</v>
      </c>
      <c r="G342" s="22">
        <f>C342*F342</f>
        <v>29.049999999999997</v>
      </c>
    </row>
    <row r="343" spans="1:7" ht="15" customHeight="1">
      <c r="A343" s="19" t="s">
        <v>99</v>
      </c>
      <c r="B343" s="20" t="s">
        <v>8</v>
      </c>
      <c r="C343" s="20">
        <v>62</v>
      </c>
      <c r="D343" s="21" t="s">
        <v>9</v>
      </c>
      <c r="E343" s="21" t="s">
        <v>10</v>
      </c>
      <c r="F343" s="20">
        <v>0.15</v>
      </c>
      <c r="G343" s="22">
        <f>C343*F343</f>
        <v>9.2999999999999989</v>
      </c>
    </row>
    <row r="344" spans="1:7" ht="15" customHeight="1">
      <c r="A344" s="19" t="s">
        <v>99</v>
      </c>
      <c r="B344" s="20" t="s">
        <v>11</v>
      </c>
      <c r="C344" s="20">
        <v>59</v>
      </c>
      <c r="D344" s="21" t="s">
        <v>15</v>
      </c>
      <c r="E344" s="21" t="s">
        <v>13</v>
      </c>
      <c r="F344" s="20">
        <v>0.2</v>
      </c>
      <c r="G344" s="22">
        <f>C344*F344</f>
        <v>11.8</v>
      </c>
    </row>
    <row r="345" spans="1:7" ht="15" customHeight="1">
      <c r="A345" s="19" t="s">
        <v>99</v>
      </c>
      <c r="B345" s="20" t="s">
        <v>14</v>
      </c>
      <c r="C345" s="20">
        <v>64</v>
      </c>
      <c r="D345" s="21" t="s">
        <v>15</v>
      </c>
      <c r="E345" s="21" t="s">
        <v>13</v>
      </c>
      <c r="F345" s="20">
        <v>0.25</v>
      </c>
      <c r="G345" s="22">
        <f>C345*F345</f>
        <v>16</v>
      </c>
    </row>
    <row r="346" spans="1:7" ht="15" customHeight="1">
      <c r="A346" s="19" t="s">
        <v>99</v>
      </c>
      <c r="B346" s="20" t="s">
        <v>16</v>
      </c>
      <c r="C346" s="20">
        <v>59</v>
      </c>
      <c r="D346" s="21" t="s">
        <v>17</v>
      </c>
      <c r="E346" s="21" t="s">
        <v>18</v>
      </c>
      <c r="F346" s="20">
        <v>0.4</v>
      </c>
      <c r="G346" s="22">
        <f>C346*F346</f>
        <v>23.6</v>
      </c>
    </row>
    <row r="347" spans="1:7" ht="15" customHeight="1">
      <c r="A347" s="19" t="s">
        <v>99</v>
      </c>
      <c r="B347" s="20" t="s">
        <v>19</v>
      </c>
      <c r="C347" s="20">
        <v>65</v>
      </c>
      <c r="D347" s="21" t="s">
        <v>43</v>
      </c>
      <c r="E347" s="21" t="s">
        <v>21</v>
      </c>
      <c r="F347" s="20">
        <v>0.2</v>
      </c>
      <c r="G347" s="22">
        <f>C347*F347</f>
        <v>13</v>
      </c>
    </row>
    <row r="348" spans="1:7" ht="15" customHeight="1">
      <c r="A348" s="19" t="s">
        <v>99</v>
      </c>
      <c r="B348" s="20" t="s">
        <v>22</v>
      </c>
      <c r="C348" s="20">
        <v>62</v>
      </c>
      <c r="D348" s="21" t="s">
        <v>23</v>
      </c>
      <c r="E348" s="21" t="s">
        <v>24</v>
      </c>
      <c r="F348" s="20">
        <v>0.3</v>
      </c>
      <c r="G348" s="22">
        <f>C348*F348</f>
        <v>18.599999999999998</v>
      </c>
    </row>
    <row r="349" spans="1:7" ht="15" customHeight="1">
      <c r="A349" s="19" t="s">
        <v>99</v>
      </c>
      <c r="B349" s="20" t="s">
        <v>25</v>
      </c>
      <c r="C349" s="20">
        <v>63</v>
      </c>
      <c r="D349" s="21" t="s">
        <v>50</v>
      </c>
      <c r="E349" s="21" t="s">
        <v>27</v>
      </c>
      <c r="F349" s="20">
        <v>0.5</v>
      </c>
      <c r="G349" s="22">
        <f>C349*F349</f>
        <v>31.5</v>
      </c>
    </row>
    <row r="350" spans="1:7" ht="15" customHeight="1">
      <c r="A350" s="19" t="s">
        <v>99</v>
      </c>
      <c r="B350" s="20" t="s">
        <v>28</v>
      </c>
      <c r="C350" s="20">
        <v>65</v>
      </c>
      <c r="D350" s="21" t="s">
        <v>46</v>
      </c>
      <c r="E350" s="21" t="s">
        <v>30</v>
      </c>
      <c r="F350" s="20">
        <v>0.1</v>
      </c>
      <c r="G350" s="22">
        <f>C350*F350</f>
        <v>6.5</v>
      </c>
    </row>
    <row r="351" spans="1:7" ht="15" customHeight="1">
      <c r="A351" s="19" t="s">
        <v>99</v>
      </c>
      <c r="B351" s="20" t="s">
        <v>31</v>
      </c>
      <c r="C351" s="20">
        <v>64</v>
      </c>
      <c r="D351" s="21" t="s">
        <v>29</v>
      </c>
      <c r="E351" s="21" t="s">
        <v>30</v>
      </c>
      <c r="F351" s="20">
        <v>0.2</v>
      </c>
      <c r="G351" s="22">
        <f>C351*F351</f>
        <v>12.8</v>
      </c>
    </row>
    <row r="352" spans="1:7" ht="15" customHeight="1">
      <c r="A352" s="19" t="s">
        <v>99</v>
      </c>
      <c r="B352" s="20" t="s">
        <v>33</v>
      </c>
      <c r="C352" s="20">
        <v>66</v>
      </c>
      <c r="D352" s="21" t="s">
        <v>47</v>
      </c>
      <c r="E352" s="21" t="s">
        <v>35</v>
      </c>
      <c r="F352" s="20">
        <v>0.35</v>
      </c>
      <c r="G352" s="22">
        <f>C352*F352</f>
        <v>23.099999999999998</v>
      </c>
    </row>
    <row r="353" spans="1:7" ht="15" customHeight="1">
      <c r="A353" s="19" t="s">
        <v>99</v>
      </c>
      <c r="B353" s="20" t="s">
        <v>36</v>
      </c>
      <c r="C353" s="20">
        <v>66</v>
      </c>
      <c r="D353" s="21" t="s">
        <v>51</v>
      </c>
      <c r="E353" s="21" t="s">
        <v>38</v>
      </c>
      <c r="F353" s="20">
        <v>0.35</v>
      </c>
      <c r="G353" s="22">
        <f>C353*F353</f>
        <v>23.099999999999998</v>
      </c>
    </row>
    <row r="354" spans="1:7" ht="15" customHeight="1">
      <c r="A354" s="19" t="s">
        <v>100</v>
      </c>
      <c r="B354" s="20" t="s">
        <v>8</v>
      </c>
      <c r="C354" s="20">
        <v>81</v>
      </c>
      <c r="D354" s="21" t="s">
        <v>56</v>
      </c>
      <c r="E354" s="21" t="s">
        <v>10</v>
      </c>
      <c r="F354" s="20">
        <v>0.15</v>
      </c>
      <c r="G354" s="22">
        <f>C354*F354</f>
        <v>12.15</v>
      </c>
    </row>
    <row r="355" spans="1:7" ht="15" customHeight="1">
      <c r="A355" s="19" t="s">
        <v>100</v>
      </c>
      <c r="B355" s="20" t="s">
        <v>11</v>
      </c>
      <c r="C355" s="20">
        <v>82</v>
      </c>
      <c r="D355" s="21" t="s">
        <v>61</v>
      </c>
      <c r="E355" s="21" t="s">
        <v>13</v>
      </c>
      <c r="F355" s="20">
        <v>0.2</v>
      </c>
      <c r="G355" s="22">
        <f>C355*F355</f>
        <v>16.400000000000002</v>
      </c>
    </row>
    <row r="356" spans="1:7" ht="15" customHeight="1">
      <c r="A356" s="19" t="s">
        <v>100</v>
      </c>
      <c r="B356" s="20" t="s">
        <v>14</v>
      </c>
      <c r="C356" s="20">
        <v>81</v>
      </c>
      <c r="D356" s="21" t="s">
        <v>61</v>
      </c>
      <c r="E356" s="21" t="s">
        <v>13</v>
      </c>
      <c r="F356" s="20">
        <v>0.25</v>
      </c>
      <c r="G356" s="22">
        <f>C356*F356</f>
        <v>20.25</v>
      </c>
    </row>
    <row r="357" spans="1:7" ht="15" customHeight="1">
      <c r="A357" s="19" t="s">
        <v>100</v>
      </c>
      <c r="B357" s="20" t="s">
        <v>16</v>
      </c>
      <c r="C357" s="20">
        <v>83</v>
      </c>
      <c r="D357" s="21" t="s">
        <v>57</v>
      </c>
      <c r="E357" s="21" t="s">
        <v>18</v>
      </c>
      <c r="F357" s="20">
        <v>0.4</v>
      </c>
      <c r="G357" s="22">
        <f>C357*F357</f>
        <v>33.200000000000003</v>
      </c>
    </row>
    <row r="358" spans="1:7" ht="15" customHeight="1">
      <c r="A358" s="19" t="s">
        <v>100</v>
      </c>
      <c r="B358" s="20" t="s">
        <v>19</v>
      </c>
      <c r="C358" s="20">
        <v>80</v>
      </c>
      <c r="D358" s="21" t="s">
        <v>66</v>
      </c>
      <c r="E358" s="21" t="s">
        <v>21</v>
      </c>
      <c r="F358" s="20">
        <v>0.2</v>
      </c>
      <c r="G358" s="22">
        <f>C358*F358</f>
        <v>16</v>
      </c>
    </row>
    <row r="359" spans="1:7" ht="15" customHeight="1">
      <c r="A359" s="19" t="s">
        <v>100</v>
      </c>
      <c r="B359" s="20" t="s">
        <v>22</v>
      </c>
      <c r="C359" s="20">
        <v>82</v>
      </c>
      <c r="D359" s="21" t="s">
        <v>58</v>
      </c>
      <c r="E359" s="21" t="s">
        <v>24</v>
      </c>
      <c r="F359" s="20">
        <v>0.3</v>
      </c>
      <c r="G359" s="22">
        <f>C359*F359</f>
        <v>24.599999999999998</v>
      </c>
    </row>
    <row r="360" spans="1:7" ht="15" customHeight="1">
      <c r="A360" s="19" t="s">
        <v>100</v>
      </c>
      <c r="B360" s="20" t="s">
        <v>25</v>
      </c>
      <c r="C360" s="20">
        <v>82</v>
      </c>
      <c r="D360" s="21" t="s">
        <v>67</v>
      </c>
      <c r="E360" s="21" t="s">
        <v>27</v>
      </c>
      <c r="F360" s="20">
        <v>0.5</v>
      </c>
      <c r="G360" s="22">
        <f>C360*F360</f>
        <v>41</v>
      </c>
    </row>
    <row r="361" spans="1:7" ht="15" customHeight="1">
      <c r="A361" s="19" t="s">
        <v>100</v>
      </c>
      <c r="B361" s="20" t="s">
        <v>28</v>
      </c>
      <c r="C361" s="20">
        <v>85</v>
      </c>
      <c r="D361" s="21" t="s">
        <v>90</v>
      </c>
      <c r="E361" s="21" t="s">
        <v>30</v>
      </c>
      <c r="F361" s="20">
        <v>0.1</v>
      </c>
      <c r="G361" s="22">
        <f>C361*F361</f>
        <v>8.5</v>
      </c>
    </row>
    <row r="362" spans="1:7" ht="15" customHeight="1">
      <c r="A362" s="19" t="s">
        <v>100</v>
      </c>
      <c r="B362" s="20" t="s">
        <v>31</v>
      </c>
      <c r="C362" s="20">
        <v>82</v>
      </c>
      <c r="D362" s="21" t="s">
        <v>62</v>
      </c>
      <c r="E362" s="21" t="s">
        <v>30</v>
      </c>
      <c r="F362" s="20">
        <v>0.2</v>
      </c>
      <c r="G362" s="22">
        <f>C362*F362</f>
        <v>16.400000000000002</v>
      </c>
    </row>
    <row r="363" spans="1:7" ht="15" customHeight="1">
      <c r="A363" s="19" t="s">
        <v>100</v>
      </c>
      <c r="B363" s="20" t="s">
        <v>33</v>
      </c>
      <c r="C363" s="20">
        <v>85</v>
      </c>
      <c r="D363" s="21" t="s">
        <v>98</v>
      </c>
      <c r="E363" s="21" t="s">
        <v>35</v>
      </c>
      <c r="F363" s="20">
        <v>0.35</v>
      </c>
      <c r="G363" s="22">
        <f>C363*F363</f>
        <v>29.749999999999996</v>
      </c>
    </row>
    <row r="364" spans="1:7" ht="15" customHeight="1">
      <c r="A364" s="19" t="s">
        <v>100</v>
      </c>
      <c r="B364" s="20" t="s">
        <v>36</v>
      </c>
      <c r="C364" s="20">
        <v>79</v>
      </c>
      <c r="D364" s="21" t="s">
        <v>59</v>
      </c>
      <c r="E364" s="21" t="s">
        <v>38</v>
      </c>
      <c r="F364" s="20">
        <v>0.35</v>
      </c>
      <c r="G364" s="22">
        <f>C364*F364</f>
        <v>27.65</v>
      </c>
    </row>
    <row r="365" spans="1:7" ht="15" customHeight="1">
      <c r="A365" s="19" t="s">
        <v>101</v>
      </c>
      <c r="B365" s="20" t="s">
        <v>8</v>
      </c>
      <c r="C365" s="20">
        <v>71</v>
      </c>
      <c r="D365" s="21" t="s">
        <v>40</v>
      </c>
      <c r="E365" s="21" t="s">
        <v>10</v>
      </c>
      <c r="F365" s="20">
        <v>0.15</v>
      </c>
      <c r="G365" s="22">
        <f>C365*F365</f>
        <v>10.65</v>
      </c>
    </row>
    <row r="366" spans="1:7" ht="15" customHeight="1">
      <c r="A366" s="19" t="s">
        <v>101</v>
      </c>
      <c r="B366" s="20" t="s">
        <v>11</v>
      </c>
      <c r="C366" s="20">
        <v>73</v>
      </c>
      <c r="D366" s="21" t="s">
        <v>41</v>
      </c>
      <c r="E366" s="21" t="s">
        <v>13</v>
      </c>
      <c r="F366" s="20">
        <v>0.2</v>
      </c>
      <c r="G366" s="22">
        <f>C366*F366</f>
        <v>14.600000000000001</v>
      </c>
    </row>
    <row r="367" spans="1:7" ht="15" customHeight="1">
      <c r="A367" s="19" t="s">
        <v>101</v>
      </c>
      <c r="B367" s="20" t="s">
        <v>14</v>
      </c>
      <c r="C367" s="20">
        <v>70</v>
      </c>
      <c r="D367" s="21" t="s">
        <v>41</v>
      </c>
      <c r="E367" s="21" t="s">
        <v>13</v>
      </c>
      <c r="F367" s="20">
        <v>0.25</v>
      </c>
      <c r="G367" s="22">
        <f>C367*F367</f>
        <v>17.5</v>
      </c>
    </row>
    <row r="368" spans="1:7" ht="15" customHeight="1">
      <c r="A368" s="19" t="s">
        <v>101</v>
      </c>
      <c r="B368" s="20" t="s">
        <v>16</v>
      </c>
      <c r="C368" s="20">
        <v>74</v>
      </c>
      <c r="D368" s="21" t="s">
        <v>42</v>
      </c>
      <c r="E368" s="21" t="s">
        <v>18</v>
      </c>
      <c r="F368" s="20">
        <v>0.4</v>
      </c>
      <c r="G368" s="22">
        <f>C368*F368</f>
        <v>29.6</v>
      </c>
    </row>
    <row r="369" spans="1:7" ht="15" customHeight="1">
      <c r="A369" s="19" t="s">
        <v>101</v>
      </c>
      <c r="B369" s="20" t="s">
        <v>19</v>
      </c>
      <c r="C369" s="20">
        <v>71</v>
      </c>
      <c r="D369" s="21" t="s">
        <v>43</v>
      </c>
      <c r="E369" s="21" t="s">
        <v>21</v>
      </c>
      <c r="F369" s="20">
        <v>0.2</v>
      </c>
      <c r="G369" s="22">
        <f>C369*F369</f>
        <v>14.200000000000001</v>
      </c>
    </row>
    <row r="370" spans="1:7" ht="15" customHeight="1">
      <c r="A370" s="19" t="s">
        <v>101</v>
      </c>
      <c r="B370" s="20" t="s">
        <v>22</v>
      </c>
      <c r="C370" s="20">
        <v>71</v>
      </c>
      <c r="D370" s="21" t="s">
        <v>44</v>
      </c>
      <c r="E370" s="21" t="s">
        <v>24</v>
      </c>
      <c r="F370" s="20">
        <v>0.3</v>
      </c>
      <c r="G370" s="22">
        <f>C370*F370</f>
        <v>21.3</v>
      </c>
    </row>
    <row r="371" spans="1:7" ht="15" customHeight="1">
      <c r="A371" s="19" t="s">
        <v>101</v>
      </c>
      <c r="B371" s="20" t="s">
        <v>25</v>
      </c>
      <c r="C371" s="20">
        <v>65</v>
      </c>
      <c r="D371" s="21" t="s">
        <v>45</v>
      </c>
      <c r="E371" s="21" t="s">
        <v>27</v>
      </c>
      <c r="F371" s="20">
        <v>0.5</v>
      </c>
      <c r="G371" s="22">
        <f>C371*F371</f>
        <v>32.5</v>
      </c>
    </row>
    <row r="372" spans="1:7" ht="15" customHeight="1">
      <c r="A372" s="19" t="s">
        <v>101</v>
      </c>
      <c r="B372" s="20" t="s">
        <v>28</v>
      </c>
      <c r="C372" s="20">
        <v>67</v>
      </c>
      <c r="D372" s="21" t="s">
        <v>46</v>
      </c>
      <c r="E372" s="21" t="s">
        <v>30</v>
      </c>
      <c r="F372" s="20">
        <v>0.1</v>
      </c>
      <c r="G372" s="22">
        <f>C372*F372</f>
        <v>6.7</v>
      </c>
    </row>
    <row r="373" spans="1:7" ht="15" customHeight="1">
      <c r="A373" s="19" t="s">
        <v>101</v>
      </c>
      <c r="B373" s="20" t="s">
        <v>31</v>
      </c>
      <c r="C373" s="20">
        <v>64</v>
      </c>
      <c r="D373" s="21" t="s">
        <v>29</v>
      </c>
      <c r="E373" s="21" t="s">
        <v>30</v>
      </c>
      <c r="F373" s="20">
        <v>0.2</v>
      </c>
      <c r="G373" s="22">
        <f>C373*F373</f>
        <v>12.8</v>
      </c>
    </row>
    <row r="374" spans="1:7" ht="15" customHeight="1">
      <c r="A374" s="19" t="s">
        <v>101</v>
      </c>
      <c r="B374" s="20" t="s">
        <v>33</v>
      </c>
      <c r="C374" s="20">
        <v>67</v>
      </c>
      <c r="D374" s="21" t="s">
        <v>47</v>
      </c>
      <c r="E374" s="21" t="s">
        <v>35</v>
      </c>
      <c r="F374" s="20">
        <v>0.35</v>
      </c>
      <c r="G374" s="22">
        <f>C374*F374</f>
        <v>23.45</v>
      </c>
    </row>
    <row r="375" spans="1:7" ht="15" customHeight="1">
      <c r="A375" s="19" t="s">
        <v>101</v>
      </c>
      <c r="B375" s="20" t="s">
        <v>36</v>
      </c>
      <c r="C375" s="20">
        <v>64</v>
      </c>
      <c r="D375" s="21" t="s">
        <v>48</v>
      </c>
      <c r="E375" s="21" t="s">
        <v>38</v>
      </c>
      <c r="F375" s="20">
        <v>0.35</v>
      </c>
      <c r="G375" s="22">
        <f>C375*F375</f>
        <v>22.4</v>
      </c>
    </row>
    <row r="376" spans="1:7" ht="15" customHeight="1">
      <c r="A376" s="19" t="s">
        <v>102</v>
      </c>
      <c r="B376" s="20" t="s">
        <v>8</v>
      </c>
      <c r="C376" s="20">
        <v>60</v>
      </c>
      <c r="D376" s="21" t="s">
        <v>9</v>
      </c>
      <c r="E376" s="21" t="s">
        <v>10</v>
      </c>
      <c r="F376" s="20">
        <v>0.15</v>
      </c>
      <c r="G376" s="22">
        <f>C376*F376</f>
        <v>9</v>
      </c>
    </row>
    <row r="377" spans="1:7" ht="15" customHeight="1">
      <c r="A377" s="19" t="s">
        <v>102</v>
      </c>
      <c r="B377" s="20" t="s">
        <v>11</v>
      </c>
      <c r="C377" s="20">
        <v>56</v>
      </c>
      <c r="D377" s="21" t="s">
        <v>15</v>
      </c>
      <c r="E377" s="21" t="s">
        <v>13</v>
      </c>
      <c r="F377" s="20">
        <v>0.2</v>
      </c>
      <c r="G377" s="22">
        <f>C377*F377</f>
        <v>11.200000000000001</v>
      </c>
    </row>
    <row r="378" spans="1:7" ht="15" customHeight="1">
      <c r="A378" s="19" t="s">
        <v>102</v>
      </c>
      <c r="B378" s="20" t="s">
        <v>14</v>
      </c>
      <c r="C378" s="20">
        <v>59</v>
      </c>
      <c r="D378" s="21" t="s">
        <v>15</v>
      </c>
      <c r="E378" s="21" t="s">
        <v>13</v>
      </c>
      <c r="F378" s="20">
        <v>0.25</v>
      </c>
      <c r="G378" s="22">
        <f>C378*F378</f>
        <v>14.75</v>
      </c>
    </row>
    <row r="379" spans="1:7" ht="15" customHeight="1">
      <c r="A379" s="19" t="s">
        <v>102</v>
      </c>
      <c r="B379" s="20" t="s">
        <v>16</v>
      </c>
      <c r="C379" s="20">
        <v>59</v>
      </c>
      <c r="D379" s="21" t="s">
        <v>17</v>
      </c>
      <c r="E379" s="21" t="s">
        <v>18</v>
      </c>
      <c r="F379" s="20">
        <v>0.4</v>
      </c>
      <c r="G379" s="22">
        <f>C379*F379</f>
        <v>23.6</v>
      </c>
    </row>
    <row r="380" spans="1:7" ht="15" customHeight="1">
      <c r="A380" s="19" t="s">
        <v>102</v>
      </c>
      <c r="B380" s="20" t="s">
        <v>19</v>
      </c>
      <c r="C380" s="20">
        <v>59</v>
      </c>
      <c r="D380" s="21" t="s">
        <v>20</v>
      </c>
      <c r="E380" s="21" t="s">
        <v>21</v>
      </c>
      <c r="F380" s="20">
        <v>0.2</v>
      </c>
      <c r="G380" s="22">
        <f>C380*F380</f>
        <v>11.8</v>
      </c>
    </row>
    <row r="381" spans="1:7" ht="15" customHeight="1">
      <c r="A381" s="19" t="s">
        <v>102</v>
      </c>
      <c r="B381" s="20" t="s">
        <v>22</v>
      </c>
      <c r="C381" s="20">
        <v>57</v>
      </c>
      <c r="D381" s="21" t="s">
        <v>23</v>
      </c>
      <c r="E381" s="21" t="s">
        <v>24</v>
      </c>
      <c r="F381" s="20">
        <v>0.3</v>
      </c>
      <c r="G381" s="22">
        <f>C381*F381</f>
        <v>17.099999999999998</v>
      </c>
    </row>
    <row r="382" spans="1:7" ht="15" customHeight="1">
      <c r="A382" s="19" t="s">
        <v>102</v>
      </c>
      <c r="B382" s="20" t="s">
        <v>25</v>
      </c>
      <c r="C382" s="20">
        <v>56</v>
      </c>
      <c r="D382" s="21" t="s">
        <v>50</v>
      </c>
      <c r="E382" s="21" t="s">
        <v>27</v>
      </c>
      <c r="F382" s="20">
        <v>0.5</v>
      </c>
      <c r="G382" s="22">
        <f>C382*F382</f>
        <v>28</v>
      </c>
    </row>
    <row r="383" spans="1:7" ht="15" customHeight="1">
      <c r="A383" s="19" t="s">
        <v>102</v>
      </c>
      <c r="B383" s="20" t="s">
        <v>28</v>
      </c>
      <c r="C383" s="20">
        <v>53</v>
      </c>
      <c r="D383" s="21" t="s">
        <v>29</v>
      </c>
      <c r="E383" s="21" t="s">
        <v>30</v>
      </c>
      <c r="F383" s="20">
        <v>0.1</v>
      </c>
      <c r="G383" s="22">
        <f>C383*F383</f>
        <v>5.3000000000000007</v>
      </c>
    </row>
    <row r="384" spans="1:7" ht="15" customHeight="1">
      <c r="A384" s="19" t="s">
        <v>102</v>
      </c>
      <c r="B384" s="20" t="s">
        <v>31</v>
      </c>
      <c r="C384" s="20">
        <v>56</v>
      </c>
      <c r="D384" s="21" t="s">
        <v>29</v>
      </c>
      <c r="E384" s="21" t="s">
        <v>30</v>
      </c>
      <c r="F384" s="20">
        <v>0.2</v>
      </c>
      <c r="G384" s="22">
        <f>C384*F384</f>
        <v>11.200000000000001</v>
      </c>
    </row>
    <row r="385" spans="1:7" ht="15" customHeight="1">
      <c r="A385" s="19" t="s">
        <v>102</v>
      </c>
      <c r="B385" s="20" t="s">
        <v>33</v>
      </c>
      <c r="C385" s="20">
        <v>50</v>
      </c>
      <c r="D385" s="21" t="s">
        <v>34</v>
      </c>
      <c r="E385" s="21" t="s">
        <v>35</v>
      </c>
      <c r="F385" s="20">
        <v>0.35</v>
      </c>
      <c r="G385" s="22">
        <f>C385*F385</f>
        <v>17.5</v>
      </c>
    </row>
    <row r="386" spans="1:7" ht="15" customHeight="1">
      <c r="A386" s="19" t="s">
        <v>102</v>
      </c>
      <c r="B386" s="20" t="s">
        <v>36</v>
      </c>
      <c r="C386" s="20">
        <v>51</v>
      </c>
      <c r="D386" s="21" t="s">
        <v>48</v>
      </c>
      <c r="E386" s="21" t="s">
        <v>38</v>
      </c>
      <c r="F386" s="20">
        <v>0.35</v>
      </c>
      <c r="G386" s="22">
        <f>C386*F386</f>
        <v>17.849999999999998</v>
      </c>
    </row>
    <row r="387" spans="1:7" ht="15" customHeight="1">
      <c r="A387" s="19" t="s">
        <v>103</v>
      </c>
      <c r="B387" s="20" t="s">
        <v>8</v>
      </c>
      <c r="C387" s="20">
        <v>60</v>
      </c>
      <c r="D387" s="21" t="s">
        <v>9</v>
      </c>
      <c r="E387" s="21" t="s">
        <v>10</v>
      </c>
      <c r="F387" s="20">
        <v>0.15</v>
      </c>
      <c r="G387" s="22">
        <f>C387*F387</f>
        <v>9</v>
      </c>
    </row>
    <row r="388" spans="1:7" ht="15" customHeight="1">
      <c r="A388" s="19" t="s">
        <v>103</v>
      </c>
      <c r="B388" s="20" t="s">
        <v>11</v>
      </c>
      <c r="C388" s="20">
        <v>57</v>
      </c>
      <c r="D388" s="21" t="s">
        <v>15</v>
      </c>
      <c r="E388" s="21" t="s">
        <v>13</v>
      </c>
      <c r="F388" s="20">
        <v>0.2</v>
      </c>
      <c r="G388" s="22">
        <f>C388*F388</f>
        <v>11.4</v>
      </c>
    </row>
    <row r="389" spans="1:7" ht="15" customHeight="1">
      <c r="A389" s="19" t="s">
        <v>103</v>
      </c>
      <c r="B389" s="20" t="s">
        <v>14</v>
      </c>
      <c r="C389" s="20">
        <v>58</v>
      </c>
      <c r="D389" s="21" t="s">
        <v>15</v>
      </c>
      <c r="E389" s="21" t="s">
        <v>13</v>
      </c>
      <c r="F389" s="20">
        <v>0.25</v>
      </c>
      <c r="G389" s="22">
        <f>C389*F389</f>
        <v>14.5</v>
      </c>
    </row>
    <row r="390" spans="1:7" ht="15" customHeight="1">
      <c r="A390" s="19" t="s">
        <v>103</v>
      </c>
      <c r="B390" s="20" t="s">
        <v>16</v>
      </c>
      <c r="C390" s="20">
        <v>57</v>
      </c>
      <c r="D390" s="21" t="s">
        <v>17</v>
      </c>
      <c r="E390" s="21" t="s">
        <v>18</v>
      </c>
      <c r="F390" s="20">
        <v>0.4</v>
      </c>
      <c r="G390" s="22">
        <f>C390*F390</f>
        <v>22.8</v>
      </c>
    </row>
    <row r="391" spans="1:7" ht="15" customHeight="1">
      <c r="A391" s="19" t="s">
        <v>103</v>
      </c>
      <c r="B391" s="20" t="s">
        <v>19</v>
      </c>
      <c r="C391" s="20">
        <v>65</v>
      </c>
      <c r="D391" s="21" t="s">
        <v>43</v>
      </c>
      <c r="E391" s="21" t="s">
        <v>21</v>
      </c>
      <c r="F391" s="20">
        <v>0.2</v>
      </c>
      <c r="G391" s="22">
        <f>C391*F391</f>
        <v>13</v>
      </c>
    </row>
    <row r="392" spans="1:7" ht="15" customHeight="1">
      <c r="A392" s="19" t="s">
        <v>103</v>
      </c>
      <c r="B392" s="20" t="s">
        <v>22</v>
      </c>
      <c r="C392" s="20">
        <v>61</v>
      </c>
      <c r="D392" s="21" t="s">
        <v>23</v>
      </c>
      <c r="E392" s="21" t="s">
        <v>24</v>
      </c>
      <c r="F392" s="20">
        <v>0.3</v>
      </c>
      <c r="G392" s="22">
        <f>C392*F392</f>
        <v>18.3</v>
      </c>
    </row>
    <row r="393" spans="1:7" ht="15" customHeight="1">
      <c r="A393" s="19" t="s">
        <v>103</v>
      </c>
      <c r="B393" s="20" t="s">
        <v>25</v>
      </c>
      <c r="C393" s="20">
        <v>66</v>
      </c>
      <c r="D393" s="21" t="s">
        <v>45</v>
      </c>
      <c r="E393" s="21" t="s">
        <v>27</v>
      </c>
      <c r="F393" s="20">
        <v>0.5</v>
      </c>
      <c r="G393" s="22">
        <f>C393*F393</f>
        <v>33</v>
      </c>
    </row>
    <row r="394" spans="1:7" ht="15" customHeight="1">
      <c r="A394" s="19" t="s">
        <v>103</v>
      </c>
      <c r="B394" s="20" t="s">
        <v>28</v>
      </c>
      <c r="C394" s="20">
        <v>63</v>
      </c>
      <c r="D394" s="21" t="s">
        <v>29</v>
      </c>
      <c r="E394" s="21" t="s">
        <v>30</v>
      </c>
      <c r="F394" s="20">
        <v>0.1</v>
      </c>
      <c r="G394" s="22">
        <f>C394*F394</f>
        <v>6.3000000000000007</v>
      </c>
    </row>
    <row r="395" spans="1:7" ht="15" customHeight="1">
      <c r="A395" s="19" t="s">
        <v>103</v>
      </c>
      <c r="B395" s="20" t="s">
        <v>31</v>
      </c>
      <c r="C395" s="20">
        <v>60</v>
      </c>
      <c r="D395" s="21" t="s">
        <v>29</v>
      </c>
      <c r="E395" s="21" t="s">
        <v>30</v>
      </c>
      <c r="F395" s="20">
        <v>0.2</v>
      </c>
      <c r="G395" s="22">
        <f>C395*F395</f>
        <v>12</v>
      </c>
    </row>
    <row r="396" spans="1:7" ht="15" customHeight="1">
      <c r="A396" s="19" t="s">
        <v>103</v>
      </c>
      <c r="B396" s="20" t="s">
        <v>33</v>
      </c>
      <c r="C396" s="20">
        <v>57</v>
      </c>
      <c r="D396" s="21" t="s">
        <v>34</v>
      </c>
      <c r="E396" s="21" t="s">
        <v>35</v>
      </c>
      <c r="F396" s="20">
        <v>0.35</v>
      </c>
      <c r="G396" s="22">
        <f>C396*F396</f>
        <v>19.95</v>
      </c>
    </row>
    <row r="397" spans="1:7" ht="15" customHeight="1">
      <c r="A397" s="19" t="s">
        <v>103</v>
      </c>
      <c r="B397" s="20" t="s">
        <v>36</v>
      </c>
      <c r="C397" s="20">
        <v>62</v>
      </c>
      <c r="D397" s="21" t="s">
        <v>48</v>
      </c>
      <c r="E397" s="21" t="s">
        <v>38</v>
      </c>
      <c r="F397" s="20">
        <v>0.35</v>
      </c>
      <c r="G397" s="22">
        <f>C397*F397</f>
        <v>21.7</v>
      </c>
    </row>
    <row r="398" spans="1:7" ht="15" customHeight="1">
      <c r="A398" s="19" t="s">
        <v>104</v>
      </c>
      <c r="B398" s="20" t="s">
        <v>8</v>
      </c>
      <c r="C398" s="20">
        <v>56</v>
      </c>
      <c r="D398" s="21" t="s">
        <v>9</v>
      </c>
      <c r="E398" s="21" t="s">
        <v>10</v>
      </c>
      <c r="F398" s="20">
        <v>0.15</v>
      </c>
      <c r="G398" s="22">
        <f>C398*F398</f>
        <v>8.4</v>
      </c>
    </row>
    <row r="399" spans="1:7" ht="15" customHeight="1">
      <c r="A399" s="19" t="s">
        <v>104</v>
      </c>
      <c r="B399" s="20" t="s">
        <v>11</v>
      </c>
      <c r="C399" s="20">
        <v>51</v>
      </c>
      <c r="D399" s="21" t="s">
        <v>15</v>
      </c>
      <c r="E399" s="21" t="s">
        <v>13</v>
      </c>
      <c r="F399" s="20">
        <v>0.2</v>
      </c>
      <c r="G399" s="22">
        <f>C399*F399</f>
        <v>10.200000000000001</v>
      </c>
    </row>
    <row r="400" spans="1:7" ht="15" customHeight="1">
      <c r="A400" s="19" t="s">
        <v>104</v>
      </c>
      <c r="B400" s="20" t="s">
        <v>14</v>
      </c>
      <c r="C400" s="20">
        <v>55</v>
      </c>
      <c r="D400" s="21" t="s">
        <v>15</v>
      </c>
      <c r="E400" s="21" t="s">
        <v>13</v>
      </c>
      <c r="F400" s="20">
        <v>0.25</v>
      </c>
      <c r="G400" s="22">
        <f>C400*F400</f>
        <v>13.75</v>
      </c>
    </row>
    <row r="401" spans="1:7" ht="15" customHeight="1">
      <c r="A401" s="19" t="s">
        <v>104</v>
      </c>
      <c r="B401" s="20" t="s">
        <v>16</v>
      </c>
      <c r="C401" s="20">
        <v>55</v>
      </c>
      <c r="D401" s="21" t="s">
        <v>17</v>
      </c>
      <c r="E401" s="21" t="s">
        <v>18</v>
      </c>
      <c r="F401" s="20">
        <v>0.4</v>
      </c>
      <c r="G401" s="22">
        <f>C401*F401</f>
        <v>22</v>
      </c>
    </row>
    <row r="402" spans="1:7" ht="15" customHeight="1">
      <c r="A402" s="19" t="s">
        <v>104</v>
      </c>
      <c r="B402" s="20" t="s">
        <v>19</v>
      </c>
      <c r="C402" s="20">
        <v>55</v>
      </c>
      <c r="D402" s="21" t="s">
        <v>20</v>
      </c>
      <c r="E402" s="21" t="s">
        <v>21</v>
      </c>
      <c r="F402" s="20">
        <v>0.2</v>
      </c>
      <c r="G402" s="22">
        <f>C402*F402</f>
        <v>11</v>
      </c>
    </row>
    <row r="403" spans="1:7" ht="15" customHeight="1">
      <c r="A403" s="19" t="s">
        <v>104</v>
      </c>
      <c r="B403" s="20" t="s">
        <v>22</v>
      </c>
      <c r="C403" s="20">
        <v>53</v>
      </c>
      <c r="D403" s="21" t="s">
        <v>23</v>
      </c>
      <c r="E403" s="21" t="s">
        <v>24</v>
      </c>
      <c r="F403" s="20">
        <v>0.3</v>
      </c>
      <c r="G403" s="22">
        <f>C403*F403</f>
        <v>15.899999999999999</v>
      </c>
    </row>
    <row r="404" spans="1:7" ht="15" customHeight="1">
      <c r="A404" s="19" t="s">
        <v>104</v>
      </c>
      <c r="B404" s="20" t="s">
        <v>25</v>
      </c>
      <c r="C404" s="20">
        <v>49</v>
      </c>
      <c r="D404" s="21" t="s">
        <v>26</v>
      </c>
      <c r="E404" s="21" t="s">
        <v>27</v>
      </c>
      <c r="F404" s="20">
        <v>0.5</v>
      </c>
      <c r="G404" s="22">
        <f>C404*F404</f>
        <v>24.5</v>
      </c>
    </row>
    <row r="405" spans="1:7" ht="15" customHeight="1">
      <c r="A405" s="19" t="s">
        <v>104</v>
      </c>
      <c r="B405" s="20" t="s">
        <v>28</v>
      </c>
      <c r="C405" s="20">
        <v>53</v>
      </c>
      <c r="D405" s="21" t="s">
        <v>29</v>
      </c>
      <c r="E405" s="21" t="s">
        <v>30</v>
      </c>
      <c r="F405" s="20">
        <v>0.1</v>
      </c>
      <c r="G405" s="22">
        <f>C405*F405</f>
        <v>5.3000000000000007</v>
      </c>
    </row>
    <row r="406" spans="1:7" ht="15" customHeight="1">
      <c r="A406" s="19" t="s">
        <v>104</v>
      </c>
      <c r="B406" s="20" t="s">
        <v>31</v>
      </c>
      <c r="C406" s="20">
        <v>52</v>
      </c>
      <c r="D406" s="21" t="s">
        <v>29</v>
      </c>
      <c r="E406" s="21" t="s">
        <v>30</v>
      </c>
      <c r="F406" s="20">
        <v>0.2</v>
      </c>
      <c r="G406" s="22">
        <f>C406*F406</f>
        <v>10.4</v>
      </c>
    </row>
    <row r="407" spans="1:7" ht="15" customHeight="1">
      <c r="A407" s="19" t="s">
        <v>104</v>
      </c>
      <c r="B407" s="20" t="s">
        <v>33</v>
      </c>
      <c r="C407" s="20">
        <v>50</v>
      </c>
      <c r="D407" s="21" t="s">
        <v>34</v>
      </c>
      <c r="E407" s="21" t="s">
        <v>35</v>
      </c>
      <c r="F407" s="20">
        <v>0.35</v>
      </c>
      <c r="G407" s="22">
        <f>C407*F407</f>
        <v>17.5</v>
      </c>
    </row>
    <row r="408" spans="1:7" ht="15" customHeight="1">
      <c r="A408" s="19" t="s">
        <v>104</v>
      </c>
      <c r="B408" s="20" t="s">
        <v>36</v>
      </c>
      <c r="C408" s="20">
        <v>50</v>
      </c>
      <c r="D408" s="21" t="s">
        <v>48</v>
      </c>
      <c r="E408" s="21" t="s">
        <v>38</v>
      </c>
      <c r="F408" s="20">
        <v>0.35</v>
      </c>
      <c r="G408" s="22">
        <f>C408*F408</f>
        <v>17.5</v>
      </c>
    </row>
    <row r="409" spans="1:7" ht="15" customHeight="1">
      <c r="A409" s="19" t="s">
        <v>105</v>
      </c>
      <c r="B409" s="20" t="s">
        <v>8</v>
      </c>
      <c r="C409" s="20">
        <v>63</v>
      </c>
      <c r="D409" s="21" t="s">
        <v>9</v>
      </c>
      <c r="E409" s="21" t="s">
        <v>10</v>
      </c>
      <c r="F409" s="20">
        <v>0.15</v>
      </c>
      <c r="G409" s="22">
        <f>C409*F409</f>
        <v>9.4499999999999993</v>
      </c>
    </row>
    <row r="410" spans="1:7" ht="15" customHeight="1">
      <c r="A410" s="19" t="s">
        <v>105</v>
      </c>
      <c r="B410" s="20" t="s">
        <v>11</v>
      </c>
      <c r="C410" s="20">
        <v>59</v>
      </c>
      <c r="D410" s="21" t="s">
        <v>15</v>
      </c>
      <c r="E410" s="21" t="s">
        <v>13</v>
      </c>
      <c r="F410" s="20">
        <v>0.2</v>
      </c>
      <c r="G410" s="22">
        <f>C410*F410</f>
        <v>11.8</v>
      </c>
    </row>
    <row r="411" spans="1:7" ht="15" customHeight="1">
      <c r="A411" s="19" t="s">
        <v>105</v>
      </c>
      <c r="B411" s="20" t="s">
        <v>14</v>
      </c>
      <c r="C411" s="20">
        <v>62</v>
      </c>
      <c r="D411" s="21" t="s">
        <v>15</v>
      </c>
      <c r="E411" s="21" t="s">
        <v>13</v>
      </c>
      <c r="F411" s="20">
        <v>0.25</v>
      </c>
      <c r="G411" s="22">
        <f>C411*F411</f>
        <v>15.5</v>
      </c>
    </row>
    <row r="412" spans="1:7" ht="15" customHeight="1">
      <c r="A412" s="19" t="s">
        <v>105</v>
      </c>
      <c r="B412" s="20" t="s">
        <v>16</v>
      </c>
      <c r="C412" s="20">
        <v>64</v>
      </c>
      <c r="D412" s="21" t="s">
        <v>17</v>
      </c>
      <c r="E412" s="21" t="s">
        <v>18</v>
      </c>
      <c r="F412" s="20">
        <v>0.4</v>
      </c>
      <c r="G412" s="22">
        <f>C412*F412</f>
        <v>25.6</v>
      </c>
    </row>
    <row r="413" spans="1:7" ht="15" customHeight="1">
      <c r="A413" s="19" t="s">
        <v>105</v>
      </c>
      <c r="B413" s="20" t="s">
        <v>19</v>
      </c>
      <c r="C413" s="20">
        <v>61</v>
      </c>
      <c r="D413" s="21" t="s">
        <v>20</v>
      </c>
      <c r="E413" s="21" t="s">
        <v>21</v>
      </c>
      <c r="F413" s="20">
        <v>0.2</v>
      </c>
      <c r="G413" s="22">
        <f>C413*F413</f>
        <v>12.200000000000001</v>
      </c>
    </row>
    <row r="414" spans="1:7" ht="15" customHeight="1">
      <c r="A414" s="19" t="s">
        <v>105</v>
      </c>
      <c r="B414" s="20" t="s">
        <v>22</v>
      </c>
      <c r="C414" s="20">
        <v>61</v>
      </c>
      <c r="D414" s="21" t="s">
        <v>23</v>
      </c>
      <c r="E414" s="21" t="s">
        <v>24</v>
      </c>
      <c r="F414" s="20">
        <v>0.3</v>
      </c>
      <c r="G414" s="22">
        <f>C414*F414</f>
        <v>18.3</v>
      </c>
    </row>
    <row r="415" spans="1:7" ht="15" customHeight="1">
      <c r="A415" s="19" t="s">
        <v>105</v>
      </c>
      <c r="B415" s="20" t="s">
        <v>25</v>
      </c>
      <c r="C415" s="20">
        <v>65</v>
      </c>
      <c r="D415" s="21" t="s">
        <v>45</v>
      </c>
      <c r="E415" s="21" t="s">
        <v>27</v>
      </c>
      <c r="F415" s="20">
        <v>0.5</v>
      </c>
      <c r="G415" s="22">
        <f>C415*F415</f>
        <v>32.5</v>
      </c>
    </row>
    <row r="416" spans="1:7" ht="15" customHeight="1">
      <c r="A416" s="19" t="s">
        <v>105</v>
      </c>
      <c r="B416" s="20" t="s">
        <v>28</v>
      </c>
      <c r="C416" s="20">
        <v>56</v>
      </c>
      <c r="D416" s="21" t="s">
        <v>29</v>
      </c>
      <c r="E416" s="21" t="s">
        <v>30</v>
      </c>
      <c r="F416" s="20">
        <v>0.1</v>
      </c>
      <c r="G416" s="22">
        <f>C416*F416</f>
        <v>5.6000000000000005</v>
      </c>
    </row>
    <row r="417" spans="1:7" ht="15" customHeight="1">
      <c r="A417" s="19" t="s">
        <v>105</v>
      </c>
      <c r="B417" s="20" t="s">
        <v>31</v>
      </c>
      <c r="C417" s="20">
        <v>56</v>
      </c>
      <c r="D417" s="21" t="s">
        <v>29</v>
      </c>
      <c r="E417" s="21" t="s">
        <v>30</v>
      </c>
      <c r="F417" s="20">
        <v>0.2</v>
      </c>
      <c r="G417" s="22">
        <f>C417*F417</f>
        <v>11.200000000000001</v>
      </c>
    </row>
    <row r="418" spans="1:7" ht="15" customHeight="1">
      <c r="A418" s="19" t="s">
        <v>105</v>
      </c>
      <c r="B418" s="20" t="s">
        <v>33</v>
      </c>
      <c r="C418" s="20">
        <v>59</v>
      </c>
      <c r="D418" s="21" t="s">
        <v>34</v>
      </c>
      <c r="E418" s="21" t="s">
        <v>35</v>
      </c>
      <c r="F418" s="20">
        <v>0.35</v>
      </c>
      <c r="G418" s="22">
        <f>C418*F418</f>
        <v>20.65</v>
      </c>
    </row>
    <row r="419" spans="1:7" ht="15" customHeight="1">
      <c r="A419" s="19" t="s">
        <v>105</v>
      </c>
      <c r="B419" s="20" t="s">
        <v>36</v>
      </c>
      <c r="C419" s="20">
        <v>58</v>
      </c>
      <c r="D419" s="21" t="s">
        <v>48</v>
      </c>
      <c r="E419" s="21" t="s">
        <v>38</v>
      </c>
      <c r="F419" s="20">
        <v>0.35</v>
      </c>
      <c r="G419" s="22">
        <f>C419*F419</f>
        <v>20.299999999999997</v>
      </c>
    </row>
    <row r="420" spans="1:7" ht="15" customHeight="1">
      <c r="A420" s="19" t="s">
        <v>106</v>
      </c>
      <c r="B420" s="20" t="s">
        <v>8</v>
      </c>
      <c r="C420" s="20">
        <v>61</v>
      </c>
      <c r="D420" s="21" t="s">
        <v>9</v>
      </c>
      <c r="E420" s="21" t="s">
        <v>10</v>
      </c>
      <c r="F420" s="20">
        <v>0.15</v>
      </c>
      <c r="G420" s="22">
        <f>C420*F420</f>
        <v>9.15</v>
      </c>
    </row>
    <row r="421" spans="1:7" ht="15" customHeight="1">
      <c r="A421" s="19" t="s">
        <v>106</v>
      </c>
      <c r="B421" s="20" t="s">
        <v>11</v>
      </c>
      <c r="C421" s="20">
        <v>59</v>
      </c>
      <c r="D421" s="21" t="s">
        <v>15</v>
      </c>
      <c r="E421" s="21" t="s">
        <v>13</v>
      </c>
      <c r="F421" s="20">
        <v>0.2</v>
      </c>
      <c r="G421" s="22">
        <f>C421*F421</f>
        <v>11.8</v>
      </c>
    </row>
    <row r="422" spans="1:7" ht="15" customHeight="1">
      <c r="A422" s="19" t="s">
        <v>106</v>
      </c>
      <c r="B422" s="20" t="s">
        <v>14</v>
      </c>
      <c r="C422" s="20">
        <v>61</v>
      </c>
      <c r="D422" s="21" t="s">
        <v>15</v>
      </c>
      <c r="E422" s="21" t="s">
        <v>13</v>
      </c>
      <c r="F422" s="20">
        <v>0.25</v>
      </c>
      <c r="G422" s="22">
        <f>C422*F422</f>
        <v>15.25</v>
      </c>
    </row>
    <row r="423" spans="1:7" ht="15" customHeight="1">
      <c r="A423" s="19" t="s">
        <v>106</v>
      </c>
      <c r="B423" s="20" t="s">
        <v>16</v>
      </c>
      <c r="C423" s="20">
        <v>62</v>
      </c>
      <c r="D423" s="21" t="s">
        <v>17</v>
      </c>
      <c r="E423" s="21" t="s">
        <v>18</v>
      </c>
      <c r="F423" s="20">
        <v>0.4</v>
      </c>
      <c r="G423" s="22">
        <f>C423*F423</f>
        <v>24.8</v>
      </c>
    </row>
    <row r="424" spans="1:7" ht="15" customHeight="1">
      <c r="A424" s="19" t="s">
        <v>106</v>
      </c>
      <c r="B424" s="20" t="s">
        <v>19</v>
      </c>
      <c r="C424" s="20">
        <v>57</v>
      </c>
      <c r="D424" s="21" t="s">
        <v>20</v>
      </c>
      <c r="E424" s="21" t="s">
        <v>21</v>
      </c>
      <c r="F424" s="20">
        <v>0.2</v>
      </c>
      <c r="G424" s="22">
        <f>C424*F424</f>
        <v>11.4</v>
      </c>
    </row>
    <row r="425" spans="1:7" ht="15" customHeight="1">
      <c r="A425" s="19" t="s">
        <v>106</v>
      </c>
      <c r="B425" s="20" t="s">
        <v>22</v>
      </c>
      <c r="C425" s="20">
        <v>57</v>
      </c>
      <c r="D425" s="21" t="s">
        <v>23</v>
      </c>
      <c r="E425" s="21" t="s">
        <v>24</v>
      </c>
      <c r="F425" s="20">
        <v>0.3</v>
      </c>
      <c r="G425" s="22">
        <f>C425*F425</f>
        <v>17.099999999999998</v>
      </c>
    </row>
    <row r="426" spans="1:7" ht="15" customHeight="1">
      <c r="A426" s="19" t="s">
        <v>106</v>
      </c>
      <c r="B426" s="20" t="s">
        <v>25</v>
      </c>
      <c r="C426" s="20">
        <v>62</v>
      </c>
      <c r="D426" s="21" t="s">
        <v>50</v>
      </c>
      <c r="E426" s="21" t="s">
        <v>27</v>
      </c>
      <c r="F426" s="20">
        <v>0.5</v>
      </c>
      <c r="G426" s="22">
        <f>C426*F426</f>
        <v>31</v>
      </c>
    </row>
    <row r="427" spans="1:7" ht="15" customHeight="1">
      <c r="A427" s="19" t="s">
        <v>106</v>
      </c>
      <c r="B427" s="20" t="s">
        <v>28</v>
      </c>
      <c r="C427" s="20">
        <v>60</v>
      </c>
      <c r="D427" s="21" t="s">
        <v>29</v>
      </c>
      <c r="E427" s="21" t="s">
        <v>30</v>
      </c>
      <c r="F427" s="20">
        <v>0.1</v>
      </c>
      <c r="G427" s="22">
        <f>C427*F427</f>
        <v>6</v>
      </c>
    </row>
    <row r="428" spans="1:7" ht="15" customHeight="1">
      <c r="A428" s="19" t="s">
        <v>106</v>
      </c>
      <c r="B428" s="20" t="s">
        <v>31</v>
      </c>
      <c r="C428" s="20">
        <v>64</v>
      </c>
      <c r="D428" s="21" t="s">
        <v>29</v>
      </c>
      <c r="E428" s="21" t="s">
        <v>30</v>
      </c>
      <c r="F428" s="20">
        <v>0.2</v>
      </c>
      <c r="G428" s="22">
        <f>C428*F428</f>
        <v>12.8</v>
      </c>
    </row>
    <row r="429" spans="1:7" ht="15" customHeight="1">
      <c r="A429" s="19" t="s">
        <v>106</v>
      </c>
      <c r="B429" s="20" t="s">
        <v>33</v>
      </c>
      <c r="C429" s="20">
        <v>60</v>
      </c>
      <c r="D429" s="21" t="s">
        <v>34</v>
      </c>
      <c r="E429" s="21" t="s">
        <v>35</v>
      </c>
      <c r="F429" s="20">
        <v>0.35</v>
      </c>
      <c r="G429" s="22">
        <f>C429*F429</f>
        <v>21</v>
      </c>
    </row>
    <row r="430" spans="1:7" ht="15" customHeight="1">
      <c r="A430" s="19" t="s">
        <v>106</v>
      </c>
      <c r="B430" s="20" t="s">
        <v>36</v>
      </c>
      <c r="C430" s="20">
        <v>64</v>
      </c>
      <c r="D430" s="21" t="s">
        <v>48</v>
      </c>
      <c r="E430" s="21" t="s">
        <v>38</v>
      </c>
      <c r="F430" s="20">
        <v>0.35</v>
      </c>
      <c r="G430" s="22">
        <f>C430*F430</f>
        <v>22.4</v>
      </c>
    </row>
    <row r="431" spans="1:7" ht="15" customHeight="1">
      <c r="A431" s="19" t="s">
        <v>107</v>
      </c>
      <c r="B431" s="20" t="s">
        <v>8</v>
      </c>
      <c r="C431" s="20">
        <v>59</v>
      </c>
      <c r="D431" s="21" t="s">
        <v>9</v>
      </c>
      <c r="E431" s="21" t="s">
        <v>10</v>
      </c>
      <c r="F431" s="20">
        <v>0.15</v>
      </c>
      <c r="G431" s="22">
        <f>C431*F431</f>
        <v>8.85</v>
      </c>
    </row>
    <row r="432" spans="1:7" ht="15" customHeight="1">
      <c r="A432" s="19" t="s">
        <v>107</v>
      </c>
      <c r="B432" s="20" t="s">
        <v>11</v>
      </c>
      <c r="C432" s="20">
        <v>65</v>
      </c>
      <c r="D432" s="21" t="s">
        <v>41</v>
      </c>
      <c r="E432" s="21" t="s">
        <v>13</v>
      </c>
      <c r="F432" s="20">
        <v>0.2</v>
      </c>
      <c r="G432" s="22">
        <f>C432*F432</f>
        <v>13</v>
      </c>
    </row>
    <row r="433" spans="1:7" ht="15" customHeight="1">
      <c r="A433" s="19" t="s">
        <v>107</v>
      </c>
      <c r="B433" s="20" t="s">
        <v>14</v>
      </c>
      <c r="C433" s="20">
        <v>64</v>
      </c>
      <c r="D433" s="21" t="s">
        <v>15</v>
      </c>
      <c r="E433" s="21" t="s">
        <v>13</v>
      </c>
      <c r="F433" s="20">
        <v>0.25</v>
      </c>
      <c r="G433" s="22">
        <f>C433*F433</f>
        <v>16</v>
      </c>
    </row>
    <row r="434" spans="1:7" ht="15" customHeight="1">
      <c r="A434" s="19" t="s">
        <v>107</v>
      </c>
      <c r="B434" s="20" t="s">
        <v>16</v>
      </c>
      <c r="C434" s="20">
        <v>60</v>
      </c>
      <c r="D434" s="21" t="s">
        <v>17</v>
      </c>
      <c r="E434" s="21" t="s">
        <v>18</v>
      </c>
      <c r="F434" s="20">
        <v>0.4</v>
      </c>
      <c r="G434" s="22">
        <f>C434*F434</f>
        <v>24</v>
      </c>
    </row>
    <row r="435" spans="1:7" ht="15" customHeight="1">
      <c r="A435" s="19" t="s">
        <v>107</v>
      </c>
      <c r="B435" s="20" t="s">
        <v>19</v>
      </c>
      <c r="C435" s="20">
        <v>61</v>
      </c>
      <c r="D435" s="21" t="s">
        <v>20</v>
      </c>
      <c r="E435" s="21" t="s">
        <v>21</v>
      </c>
      <c r="F435" s="20">
        <v>0.2</v>
      </c>
      <c r="G435" s="22">
        <f>C435*F435</f>
        <v>12.200000000000001</v>
      </c>
    </row>
    <row r="436" spans="1:7" ht="15" customHeight="1">
      <c r="A436" s="19" t="s">
        <v>107</v>
      </c>
      <c r="B436" s="20" t="s">
        <v>22</v>
      </c>
      <c r="C436" s="20">
        <v>64</v>
      </c>
      <c r="D436" s="21" t="s">
        <v>23</v>
      </c>
      <c r="E436" s="21" t="s">
        <v>24</v>
      </c>
      <c r="F436" s="20">
        <v>0.3</v>
      </c>
      <c r="G436" s="22">
        <f>C436*F436</f>
        <v>19.2</v>
      </c>
    </row>
    <row r="437" spans="1:7" ht="15" customHeight="1">
      <c r="A437" s="19" t="s">
        <v>107</v>
      </c>
      <c r="B437" s="20" t="s">
        <v>25</v>
      </c>
      <c r="C437" s="20">
        <v>63</v>
      </c>
      <c r="D437" s="21" t="s">
        <v>50</v>
      </c>
      <c r="E437" s="21" t="s">
        <v>27</v>
      </c>
      <c r="F437" s="20">
        <v>0.5</v>
      </c>
      <c r="G437" s="22">
        <f>C437*F437</f>
        <v>31.5</v>
      </c>
    </row>
    <row r="438" spans="1:7" ht="15" customHeight="1">
      <c r="A438" s="19" t="s">
        <v>107</v>
      </c>
      <c r="B438" s="20" t="s">
        <v>28</v>
      </c>
      <c r="C438" s="20">
        <v>63</v>
      </c>
      <c r="D438" s="21" t="s">
        <v>29</v>
      </c>
      <c r="E438" s="21" t="s">
        <v>30</v>
      </c>
      <c r="F438" s="20">
        <v>0.1</v>
      </c>
      <c r="G438" s="22">
        <f>C438*F438</f>
        <v>6.3000000000000007</v>
      </c>
    </row>
    <row r="439" spans="1:7" ht="15" customHeight="1">
      <c r="A439" s="19" t="s">
        <v>107</v>
      </c>
      <c r="B439" s="20" t="s">
        <v>31</v>
      </c>
      <c r="C439" s="20">
        <v>62</v>
      </c>
      <c r="D439" s="21" t="s">
        <v>29</v>
      </c>
      <c r="E439" s="21" t="s">
        <v>30</v>
      </c>
      <c r="F439" s="20">
        <v>0.2</v>
      </c>
      <c r="G439" s="22">
        <f>C439*F439</f>
        <v>12.4</v>
      </c>
    </row>
    <row r="440" spans="1:7" ht="15" customHeight="1">
      <c r="A440" s="19" t="s">
        <v>107</v>
      </c>
      <c r="B440" s="20" t="s">
        <v>33</v>
      </c>
      <c r="C440" s="20">
        <v>61</v>
      </c>
      <c r="D440" s="21" t="s">
        <v>34</v>
      </c>
      <c r="E440" s="21" t="s">
        <v>35</v>
      </c>
      <c r="F440" s="20">
        <v>0.35</v>
      </c>
      <c r="G440" s="22">
        <f>C440*F440</f>
        <v>21.349999999999998</v>
      </c>
    </row>
    <row r="441" spans="1:7" ht="15" customHeight="1">
      <c r="A441" s="19" t="s">
        <v>107</v>
      </c>
      <c r="B441" s="20" t="s">
        <v>36</v>
      </c>
      <c r="C441" s="20">
        <v>59</v>
      </c>
      <c r="D441" s="21" t="s">
        <v>48</v>
      </c>
      <c r="E441" s="21" t="s">
        <v>38</v>
      </c>
      <c r="F441" s="20">
        <v>0.35</v>
      </c>
      <c r="G441" s="22">
        <f>C441*F441</f>
        <v>20.65</v>
      </c>
    </row>
    <row r="442" spans="1:7" ht="15" customHeight="1">
      <c r="A442" s="19" t="s">
        <v>108</v>
      </c>
      <c r="B442" s="20" t="s">
        <v>8</v>
      </c>
      <c r="C442" s="20">
        <v>68</v>
      </c>
      <c r="D442" s="21" t="s">
        <v>40</v>
      </c>
      <c r="E442" s="21" t="s">
        <v>10</v>
      </c>
      <c r="F442" s="20">
        <v>0.15</v>
      </c>
      <c r="G442" s="22">
        <f>C442*F442</f>
        <v>10.199999999999999</v>
      </c>
    </row>
    <row r="443" spans="1:7" ht="15" customHeight="1">
      <c r="A443" s="19" t="s">
        <v>108</v>
      </c>
      <c r="B443" s="20" t="s">
        <v>11</v>
      </c>
      <c r="C443" s="20">
        <v>67</v>
      </c>
      <c r="D443" s="21" t="s">
        <v>41</v>
      </c>
      <c r="E443" s="21" t="s">
        <v>13</v>
      </c>
      <c r="F443" s="20">
        <v>0.2</v>
      </c>
      <c r="G443" s="22">
        <f>C443*F443</f>
        <v>13.4</v>
      </c>
    </row>
    <row r="444" spans="1:7" ht="15" customHeight="1">
      <c r="A444" s="19" t="s">
        <v>108</v>
      </c>
      <c r="B444" s="20" t="s">
        <v>14</v>
      </c>
      <c r="C444" s="20">
        <v>70</v>
      </c>
      <c r="D444" s="21" t="s">
        <v>41</v>
      </c>
      <c r="E444" s="21" t="s">
        <v>13</v>
      </c>
      <c r="F444" s="20">
        <v>0.25</v>
      </c>
      <c r="G444" s="22">
        <f>C444*F444</f>
        <v>17.5</v>
      </c>
    </row>
    <row r="445" spans="1:7" ht="15" customHeight="1">
      <c r="A445" s="19" t="s">
        <v>108</v>
      </c>
      <c r="B445" s="20" t="s">
        <v>16</v>
      </c>
      <c r="C445" s="20">
        <v>70</v>
      </c>
      <c r="D445" s="21" t="s">
        <v>42</v>
      </c>
      <c r="E445" s="21" t="s">
        <v>18</v>
      </c>
      <c r="F445" s="20">
        <v>0.4</v>
      </c>
      <c r="G445" s="22">
        <f>C445*F445</f>
        <v>28</v>
      </c>
    </row>
    <row r="446" spans="1:7" ht="15" customHeight="1">
      <c r="A446" s="19" t="s">
        <v>108</v>
      </c>
      <c r="B446" s="20" t="s">
        <v>19</v>
      </c>
      <c r="C446" s="20">
        <v>69</v>
      </c>
      <c r="D446" s="21" t="s">
        <v>43</v>
      </c>
      <c r="E446" s="21" t="s">
        <v>21</v>
      </c>
      <c r="F446" s="20">
        <v>0.2</v>
      </c>
      <c r="G446" s="22">
        <f>C446*F446</f>
        <v>13.8</v>
      </c>
    </row>
    <row r="447" spans="1:7" ht="15" customHeight="1">
      <c r="A447" s="19" t="s">
        <v>108</v>
      </c>
      <c r="B447" s="20" t="s">
        <v>22</v>
      </c>
      <c r="C447" s="20">
        <v>67</v>
      </c>
      <c r="D447" s="21" t="s">
        <v>44</v>
      </c>
      <c r="E447" s="21" t="s">
        <v>24</v>
      </c>
      <c r="F447" s="20">
        <v>0.3</v>
      </c>
      <c r="G447" s="22">
        <f>C447*F447</f>
        <v>20.099999999999998</v>
      </c>
    </row>
    <row r="448" spans="1:7" ht="15" customHeight="1">
      <c r="A448" s="19" t="s">
        <v>108</v>
      </c>
      <c r="B448" s="20" t="s">
        <v>25</v>
      </c>
      <c r="C448" s="20">
        <v>67</v>
      </c>
      <c r="D448" s="21" t="s">
        <v>45</v>
      </c>
      <c r="E448" s="21" t="s">
        <v>27</v>
      </c>
      <c r="F448" s="20">
        <v>0.5</v>
      </c>
      <c r="G448" s="22">
        <f>C448*F448</f>
        <v>33.5</v>
      </c>
    </row>
    <row r="449" spans="1:7" ht="15" customHeight="1">
      <c r="A449" s="19" t="s">
        <v>108</v>
      </c>
      <c r="B449" s="20" t="s">
        <v>28</v>
      </c>
      <c r="C449" s="20">
        <v>72</v>
      </c>
      <c r="D449" s="21" t="s">
        <v>46</v>
      </c>
      <c r="E449" s="21" t="s">
        <v>30</v>
      </c>
      <c r="F449" s="20">
        <v>0.1</v>
      </c>
      <c r="G449" s="22">
        <f>C449*F449</f>
        <v>7.2</v>
      </c>
    </row>
    <row r="450" spans="1:7" ht="15" customHeight="1">
      <c r="A450" s="19" t="s">
        <v>108</v>
      </c>
      <c r="B450" s="20" t="s">
        <v>31</v>
      </c>
      <c r="C450" s="20">
        <v>73</v>
      </c>
      <c r="D450" s="21" t="s">
        <v>46</v>
      </c>
      <c r="E450" s="21" t="s">
        <v>30</v>
      </c>
      <c r="F450" s="20">
        <v>0.2</v>
      </c>
      <c r="G450" s="22">
        <f>C450*F450</f>
        <v>14.600000000000001</v>
      </c>
    </row>
    <row r="451" spans="1:7" ht="15" customHeight="1">
      <c r="A451" s="19" t="s">
        <v>108</v>
      </c>
      <c r="B451" s="20" t="s">
        <v>33</v>
      </c>
      <c r="C451" s="20">
        <v>70</v>
      </c>
      <c r="D451" s="21" t="s">
        <v>47</v>
      </c>
      <c r="E451" s="21" t="s">
        <v>35</v>
      </c>
      <c r="F451" s="20">
        <v>0.35</v>
      </c>
      <c r="G451" s="22">
        <f>C451*F451</f>
        <v>24.5</v>
      </c>
    </row>
    <row r="452" spans="1:7" ht="15" customHeight="1">
      <c r="A452" s="19" t="s">
        <v>108</v>
      </c>
      <c r="B452" s="20" t="s">
        <v>36</v>
      </c>
      <c r="C452" s="20">
        <v>70</v>
      </c>
      <c r="D452" s="21" t="s">
        <v>51</v>
      </c>
      <c r="E452" s="21" t="s">
        <v>38</v>
      </c>
      <c r="F452" s="20">
        <v>0.35</v>
      </c>
      <c r="G452" s="22">
        <f>C452*F452</f>
        <v>24.5</v>
      </c>
    </row>
    <row r="453" spans="1:7" ht="15" customHeight="1">
      <c r="A453" s="19" t="s">
        <v>109</v>
      </c>
      <c r="B453" s="20" t="s">
        <v>8</v>
      </c>
      <c r="C453" s="20">
        <v>66</v>
      </c>
      <c r="D453" s="21" t="s">
        <v>40</v>
      </c>
      <c r="E453" s="21" t="s">
        <v>10</v>
      </c>
      <c r="F453" s="20">
        <v>0.15</v>
      </c>
      <c r="G453" s="22">
        <f>C453*F453</f>
        <v>9.9</v>
      </c>
    </row>
    <row r="454" spans="1:7" ht="15" customHeight="1">
      <c r="A454" s="19" t="s">
        <v>109</v>
      </c>
      <c r="B454" s="20" t="s">
        <v>11</v>
      </c>
      <c r="C454" s="20">
        <v>68</v>
      </c>
      <c r="D454" s="21" t="s">
        <v>41</v>
      </c>
      <c r="E454" s="21" t="s">
        <v>13</v>
      </c>
      <c r="F454" s="20">
        <v>0.2</v>
      </c>
      <c r="G454" s="22">
        <f>C454*F454</f>
        <v>13.600000000000001</v>
      </c>
    </row>
    <row r="455" spans="1:7" ht="15" customHeight="1">
      <c r="A455" s="19" t="s">
        <v>109</v>
      </c>
      <c r="B455" s="20" t="s">
        <v>14</v>
      </c>
      <c r="C455" s="20">
        <v>68</v>
      </c>
      <c r="D455" s="21" t="s">
        <v>41</v>
      </c>
      <c r="E455" s="21" t="s">
        <v>13</v>
      </c>
      <c r="F455" s="20">
        <v>0.25</v>
      </c>
      <c r="G455" s="22">
        <f>C455*F455</f>
        <v>17</v>
      </c>
    </row>
    <row r="456" spans="1:7" ht="15" customHeight="1">
      <c r="A456" s="19" t="s">
        <v>109</v>
      </c>
      <c r="B456" s="20" t="s">
        <v>16</v>
      </c>
      <c r="C456" s="20">
        <v>68</v>
      </c>
      <c r="D456" s="21" t="s">
        <v>42</v>
      </c>
      <c r="E456" s="21" t="s">
        <v>18</v>
      </c>
      <c r="F456" s="20">
        <v>0.4</v>
      </c>
      <c r="G456" s="22">
        <f>C456*F456</f>
        <v>27.200000000000003</v>
      </c>
    </row>
    <row r="457" spans="1:7" ht="15" customHeight="1">
      <c r="A457" s="19" t="s">
        <v>109</v>
      </c>
      <c r="B457" s="20" t="s">
        <v>19</v>
      </c>
      <c r="C457" s="20">
        <v>69</v>
      </c>
      <c r="D457" s="21" t="s">
        <v>43</v>
      </c>
      <c r="E457" s="21" t="s">
        <v>21</v>
      </c>
      <c r="F457" s="20">
        <v>0.2</v>
      </c>
      <c r="G457" s="22">
        <f>C457*F457</f>
        <v>13.8</v>
      </c>
    </row>
    <row r="458" spans="1:7" ht="15" customHeight="1">
      <c r="A458" s="19" t="s">
        <v>109</v>
      </c>
      <c r="B458" s="20" t="s">
        <v>22</v>
      </c>
      <c r="C458" s="20">
        <v>67</v>
      </c>
      <c r="D458" s="21" t="s">
        <v>44</v>
      </c>
      <c r="E458" s="21" t="s">
        <v>24</v>
      </c>
      <c r="F458" s="20">
        <v>0.3</v>
      </c>
      <c r="G458" s="22">
        <f>C458*F458</f>
        <v>20.099999999999998</v>
      </c>
    </row>
    <row r="459" spans="1:7" ht="15" customHeight="1">
      <c r="A459" s="19" t="s">
        <v>109</v>
      </c>
      <c r="B459" s="20" t="s">
        <v>25</v>
      </c>
      <c r="C459" s="20">
        <v>67</v>
      </c>
      <c r="D459" s="21" t="s">
        <v>45</v>
      </c>
      <c r="E459" s="21" t="s">
        <v>27</v>
      </c>
      <c r="F459" s="20">
        <v>0.5</v>
      </c>
      <c r="G459" s="22">
        <f>C459*F459</f>
        <v>33.5</v>
      </c>
    </row>
    <row r="460" spans="1:7" ht="15" customHeight="1">
      <c r="A460" s="19" t="s">
        <v>109</v>
      </c>
      <c r="B460" s="20" t="s">
        <v>28</v>
      </c>
      <c r="C460" s="20">
        <v>72</v>
      </c>
      <c r="D460" s="21" t="s">
        <v>46</v>
      </c>
      <c r="E460" s="21" t="s">
        <v>30</v>
      </c>
      <c r="F460" s="20">
        <v>0.1</v>
      </c>
      <c r="G460" s="22">
        <f>C460*F460</f>
        <v>7.2</v>
      </c>
    </row>
    <row r="461" spans="1:7" ht="15" customHeight="1">
      <c r="A461" s="19" t="s">
        <v>109</v>
      </c>
      <c r="B461" s="20" t="s">
        <v>31</v>
      </c>
      <c r="C461" s="20">
        <v>70</v>
      </c>
      <c r="D461" s="21" t="s">
        <v>46</v>
      </c>
      <c r="E461" s="21" t="s">
        <v>30</v>
      </c>
      <c r="F461" s="20">
        <v>0.2</v>
      </c>
      <c r="G461" s="22">
        <f>C461*F461</f>
        <v>14</v>
      </c>
    </row>
    <row r="462" spans="1:7" ht="15" customHeight="1">
      <c r="A462" s="19" t="s">
        <v>109</v>
      </c>
      <c r="B462" s="20" t="s">
        <v>33</v>
      </c>
      <c r="C462" s="20">
        <v>73</v>
      </c>
      <c r="D462" s="21" t="s">
        <v>47</v>
      </c>
      <c r="E462" s="21" t="s">
        <v>35</v>
      </c>
      <c r="F462" s="20">
        <v>0.35</v>
      </c>
      <c r="G462" s="22">
        <f>C462*F462</f>
        <v>25.549999999999997</v>
      </c>
    </row>
    <row r="463" spans="1:7" ht="15" customHeight="1">
      <c r="A463" s="19" t="s">
        <v>109</v>
      </c>
      <c r="B463" s="20" t="s">
        <v>36</v>
      </c>
      <c r="C463" s="20">
        <v>71</v>
      </c>
      <c r="D463" s="21" t="s">
        <v>51</v>
      </c>
      <c r="E463" s="21" t="s">
        <v>38</v>
      </c>
      <c r="F463" s="20">
        <v>0.35</v>
      </c>
      <c r="G463" s="22">
        <f>C463*F463</f>
        <v>24.849999999999998</v>
      </c>
    </row>
    <row r="464" spans="1:7" ht="15" customHeight="1">
      <c r="A464" s="19" t="s">
        <v>110</v>
      </c>
      <c r="B464" s="20" t="s">
        <v>8</v>
      </c>
      <c r="C464" s="20">
        <v>84</v>
      </c>
      <c r="D464" s="21" t="s">
        <v>56</v>
      </c>
      <c r="E464" s="21" t="s">
        <v>10</v>
      </c>
      <c r="F464" s="20">
        <v>0.15</v>
      </c>
      <c r="G464" s="22">
        <f>C464*F464</f>
        <v>12.6</v>
      </c>
    </row>
    <row r="465" spans="1:7" ht="15" customHeight="1">
      <c r="A465" s="19" t="s">
        <v>110</v>
      </c>
      <c r="B465" s="20" t="s">
        <v>11</v>
      </c>
      <c r="C465" s="20">
        <v>88</v>
      </c>
      <c r="D465" s="21" t="s">
        <v>75</v>
      </c>
      <c r="E465" s="21" t="s">
        <v>13</v>
      </c>
      <c r="F465" s="20">
        <v>0.2</v>
      </c>
      <c r="G465" s="22">
        <f>C465*F465</f>
        <v>17.600000000000001</v>
      </c>
    </row>
    <row r="466" spans="1:7" ht="15" customHeight="1">
      <c r="A466" s="19" t="s">
        <v>110</v>
      </c>
      <c r="B466" s="20" t="s">
        <v>14</v>
      </c>
      <c r="C466" s="20">
        <v>88</v>
      </c>
      <c r="D466" s="21" t="s">
        <v>75</v>
      </c>
      <c r="E466" s="21" t="s">
        <v>13</v>
      </c>
      <c r="F466" s="20">
        <v>0.25</v>
      </c>
      <c r="G466" s="22">
        <f>C466*F466</f>
        <v>22</v>
      </c>
    </row>
    <row r="467" spans="1:7" ht="15" customHeight="1">
      <c r="A467" s="19" t="s">
        <v>110</v>
      </c>
      <c r="B467" s="20" t="s">
        <v>16</v>
      </c>
      <c r="C467" s="20">
        <v>87</v>
      </c>
      <c r="D467" s="21" t="s">
        <v>76</v>
      </c>
      <c r="E467" s="21" t="s">
        <v>18</v>
      </c>
      <c r="F467" s="20">
        <v>0.4</v>
      </c>
      <c r="G467" s="22">
        <f>C467*F467</f>
        <v>34.800000000000004</v>
      </c>
    </row>
    <row r="468" spans="1:7" ht="15" customHeight="1">
      <c r="A468" s="19" t="s">
        <v>110</v>
      </c>
      <c r="B468" s="20" t="s">
        <v>19</v>
      </c>
      <c r="C468" s="20">
        <v>89</v>
      </c>
      <c r="D468" s="21" t="s">
        <v>88</v>
      </c>
      <c r="E468" s="21" t="s">
        <v>21</v>
      </c>
      <c r="F468" s="20">
        <v>0.2</v>
      </c>
      <c r="G468" s="22">
        <f>C468*F468</f>
        <v>17.8</v>
      </c>
    </row>
    <row r="469" spans="1:7" ht="15" customHeight="1">
      <c r="A469" s="19" t="s">
        <v>110</v>
      </c>
      <c r="B469" s="20" t="s">
        <v>22</v>
      </c>
      <c r="C469" s="20">
        <v>86</v>
      </c>
      <c r="D469" s="21" t="s">
        <v>97</v>
      </c>
      <c r="E469" s="21" t="s">
        <v>24</v>
      </c>
      <c r="F469" s="20">
        <v>0.3</v>
      </c>
      <c r="G469" s="22">
        <f>C469*F469</f>
        <v>25.8</v>
      </c>
    </row>
    <row r="470" spans="1:7" ht="15" customHeight="1">
      <c r="A470" s="19" t="s">
        <v>110</v>
      </c>
      <c r="B470" s="20" t="s">
        <v>25</v>
      </c>
      <c r="C470" s="20">
        <v>89</v>
      </c>
      <c r="D470" s="21" t="s">
        <v>89</v>
      </c>
      <c r="E470" s="21" t="s">
        <v>27</v>
      </c>
      <c r="F470" s="20">
        <v>0.5</v>
      </c>
      <c r="G470" s="22">
        <f>C470*F470</f>
        <v>44.5</v>
      </c>
    </row>
    <row r="471" spans="1:7" ht="15" customHeight="1">
      <c r="A471" s="19" t="s">
        <v>110</v>
      </c>
      <c r="B471" s="20" t="s">
        <v>28</v>
      </c>
      <c r="C471" s="20">
        <v>86</v>
      </c>
      <c r="D471" s="21" t="s">
        <v>90</v>
      </c>
      <c r="E471" s="21" t="s">
        <v>30</v>
      </c>
      <c r="F471" s="20">
        <v>0.1</v>
      </c>
      <c r="G471" s="22">
        <f>C471*F471</f>
        <v>8.6</v>
      </c>
    </row>
    <row r="472" spans="1:7" ht="15" customHeight="1">
      <c r="A472" s="19" t="s">
        <v>110</v>
      </c>
      <c r="B472" s="20" t="s">
        <v>31</v>
      </c>
      <c r="C472" s="20">
        <v>80</v>
      </c>
      <c r="D472" s="21" t="s">
        <v>62</v>
      </c>
      <c r="E472" s="21" t="s">
        <v>30</v>
      </c>
      <c r="F472" s="20">
        <v>0.2</v>
      </c>
      <c r="G472" s="22">
        <f>C472*F472</f>
        <v>16</v>
      </c>
    </row>
    <row r="473" spans="1:7" ht="15" customHeight="1">
      <c r="A473" s="19" t="s">
        <v>110</v>
      </c>
      <c r="B473" s="20" t="s">
        <v>33</v>
      </c>
      <c r="C473" s="20">
        <v>80</v>
      </c>
      <c r="D473" s="21" t="s">
        <v>63</v>
      </c>
      <c r="E473" s="21" t="s">
        <v>35</v>
      </c>
      <c r="F473" s="20">
        <v>0.35</v>
      </c>
      <c r="G473" s="22">
        <f>C473*F473</f>
        <v>28</v>
      </c>
    </row>
    <row r="474" spans="1:7" ht="15" customHeight="1">
      <c r="A474" s="19" t="s">
        <v>110</v>
      </c>
      <c r="B474" s="20" t="s">
        <v>36</v>
      </c>
      <c r="C474" s="20">
        <v>85</v>
      </c>
      <c r="D474" s="21" t="s">
        <v>111</v>
      </c>
      <c r="E474" s="21" t="s">
        <v>38</v>
      </c>
      <c r="F474" s="20">
        <v>0.35</v>
      </c>
      <c r="G474" s="22">
        <f>C474*F474</f>
        <v>29.749999999999996</v>
      </c>
    </row>
    <row r="475" spans="1:7" ht="15" customHeight="1">
      <c r="A475" s="19" t="s">
        <v>112</v>
      </c>
      <c r="B475" s="20" t="s">
        <v>8</v>
      </c>
      <c r="C475" s="20">
        <v>74</v>
      </c>
      <c r="D475" s="21" t="s">
        <v>40</v>
      </c>
      <c r="E475" s="21" t="s">
        <v>10</v>
      </c>
      <c r="F475" s="20">
        <v>0.15</v>
      </c>
      <c r="G475" s="22">
        <f>C475*F475</f>
        <v>11.1</v>
      </c>
    </row>
    <row r="476" spans="1:7" ht="15" customHeight="1">
      <c r="A476" s="19" t="s">
        <v>112</v>
      </c>
      <c r="B476" s="20" t="s">
        <v>11</v>
      </c>
      <c r="C476" s="20">
        <v>73</v>
      </c>
      <c r="D476" s="21" t="s">
        <v>41</v>
      </c>
      <c r="E476" s="21" t="s">
        <v>13</v>
      </c>
      <c r="F476" s="20">
        <v>0.2</v>
      </c>
      <c r="G476" s="22">
        <f>C476*F476</f>
        <v>14.600000000000001</v>
      </c>
    </row>
    <row r="477" spans="1:7" ht="15" customHeight="1">
      <c r="A477" s="19" t="s">
        <v>112</v>
      </c>
      <c r="B477" s="20" t="s">
        <v>14</v>
      </c>
      <c r="C477" s="20">
        <v>77</v>
      </c>
      <c r="D477" s="21" t="s">
        <v>61</v>
      </c>
      <c r="E477" s="21" t="s">
        <v>13</v>
      </c>
      <c r="F477" s="20">
        <v>0.25</v>
      </c>
      <c r="G477" s="22">
        <f>C477*F477</f>
        <v>19.25</v>
      </c>
    </row>
    <row r="478" spans="1:7" ht="15" customHeight="1">
      <c r="A478" s="19" t="s">
        <v>112</v>
      </c>
      <c r="B478" s="20" t="s">
        <v>16</v>
      </c>
      <c r="C478" s="20">
        <v>74</v>
      </c>
      <c r="D478" s="21" t="s">
        <v>42</v>
      </c>
      <c r="E478" s="21" t="s">
        <v>18</v>
      </c>
      <c r="F478" s="20">
        <v>0.4</v>
      </c>
      <c r="G478" s="22">
        <f>C478*F478</f>
        <v>29.6</v>
      </c>
    </row>
    <row r="479" spans="1:7" ht="15" customHeight="1">
      <c r="A479" s="19" t="s">
        <v>112</v>
      </c>
      <c r="B479" s="20" t="s">
        <v>19</v>
      </c>
      <c r="C479" s="20">
        <v>81</v>
      </c>
      <c r="D479" s="21" t="s">
        <v>66</v>
      </c>
      <c r="E479" s="21" t="s">
        <v>21</v>
      </c>
      <c r="F479" s="20">
        <v>0.2</v>
      </c>
      <c r="G479" s="22">
        <f>C479*F479</f>
        <v>16.2</v>
      </c>
    </row>
    <row r="480" spans="1:7" ht="15" customHeight="1">
      <c r="A480" s="19" t="s">
        <v>112</v>
      </c>
      <c r="B480" s="20" t="s">
        <v>22</v>
      </c>
      <c r="C480" s="20">
        <v>82</v>
      </c>
      <c r="D480" s="21" t="s">
        <v>58</v>
      </c>
      <c r="E480" s="21" t="s">
        <v>24</v>
      </c>
      <c r="F480" s="20">
        <v>0.3</v>
      </c>
      <c r="G480" s="22">
        <f>C480*F480</f>
        <v>24.599999999999998</v>
      </c>
    </row>
    <row r="481" spans="1:7" ht="15" customHeight="1">
      <c r="A481" s="19" t="s">
        <v>112</v>
      </c>
      <c r="B481" s="20" t="s">
        <v>25</v>
      </c>
      <c r="C481" s="20">
        <v>79</v>
      </c>
      <c r="D481" s="21" t="s">
        <v>67</v>
      </c>
      <c r="E481" s="21" t="s">
        <v>27</v>
      </c>
      <c r="F481" s="20">
        <v>0.5</v>
      </c>
      <c r="G481" s="22">
        <f>C481*F481</f>
        <v>39.5</v>
      </c>
    </row>
    <row r="482" spans="1:7" ht="15" customHeight="1">
      <c r="A482" s="19" t="s">
        <v>112</v>
      </c>
      <c r="B482" s="20" t="s">
        <v>28</v>
      </c>
      <c r="C482" s="20">
        <v>76</v>
      </c>
      <c r="D482" s="21" t="s">
        <v>62</v>
      </c>
      <c r="E482" s="21" t="s">
        <v>30</v>
      </c>
      <c r="F482" s="20">
        <v>0.1</v>
      </c>
      <c r="G482" s="22">
        <f>C482*F482</f>
        <v>7.6000000000000005</v>
      </c>
    </row>
    <row r="483" spans="1:7" ht="15" customHeight="1">
      <c r="A483" s="19" t="s">
        <v>112</v>
      </c>
      <c r="B483" s="20" t="s">
        <v>31</v>
      </c>
      <c r="C483" s="20">
        <v>76</v>
      </c>
      <c r="D483" s="21" t="s">
        <v>62</v>
      </c>
      <c r="E483" s="21" t="s">
        <v>30</v>
      </c>
      <c r="F483" s="20">
        <v>0.2</v>
      </c>
      <c r="G483" s="22">
        <f>C483*F483</f>
        <v>15.200000000000001</v>
      </c>
    </row>
    <row r="484" spans="1:7" ht="15" customHeight="1">
      <c r="A484" s="19" t="s">
        <v>112</v>
      </c>
      <c r="B484" s="20" t="s">
        <v>33</v>
      </c>
      <c r="C484" s="20">
        <v>76</v>
      </c>
      <c r="D484" s="21" t="s">
        <v>63</v>
      </c>
      <c r="E484" s="21" t="s">
        <v>35</v>
      </c>
      <c r="F484" s="20">
        <v>0.35</v>
      </c>
      <c r="G484" s="22">
        <f>C484*F484</f>
        <v>26.599999999999998</v>
      </c>
    </row>
    <row r="485" spans="1:7" ht="15" customHeight="1">
      <c r="A485" s="19" t="s">
        <v>112</v>
      </c>
      <c r="B485" s="20" t="s">
        <v>36</v>
      </c>
      <c r="C485" s="20">
        <v>75</v>
      </c>
      <c r="D485" s="21" t="s">
        <v>59</v>
      </c>
      <c r="E485" s="21" t="s">
        <v>38</v>
      </c>
      <c r="F485" s="20">
        <v>0.35</v>
      </c>
      <c r="G485" s="22">
        <f>C485*F485</f>
        <v>26.25</v>
      </c>
    </row>
    <row r="486" spans="1:7" ht="15" customHeight="1">
      <c r="A486" s="19" t="s">
        <v>113</v>
      </c>
      <c r="B486" s="20" t="s">
        <v>8</v>
      </c>
      <c r="C486" s="20">
        <v>82</v>
      </c>
      <c r="D486" s="21" t="s">
        <v>56</v>
      </c>
      <c r="E486" s="21" t="s">
        <v>10</v>
      </c>
      <c r="F486" s="20">
        <v>0.15</v>
      </c>
      <c r="G486" s="22">
        <f>C486*F486</f>
        <v>12.299999999999999</v>
      </c>
    </row>
    <row r="487" spans="1:7" ht="15" customHeight="1">
      <c r="A487" s="19" t="s">
        <v>113</v>
      </c>
      <c r="B487" s="20" t="s">
        <v>11</v>
      </c>
      <c r="C487" s="20">
        <v>84</v>
      </c>
      <c r="D487" s="21" t="s">
        <v>61</v>
      </c>
      <c r="E487" s="21" t="s">
        <v>13</v>
      </c>
      <c r="F487" s="20">
        <v>0.2</v>
      </c>
      <c r="G487" s="22">
        <f>C487*F487</f>
        <v>16.8</v>
      </c>
    </row>
    <row r="488" spans="1:7" ht="15" customHeight="1">
      <c r="A488" s="19" t="s">
        <v>113</v>
      </c>
      <c r="B488" s="20" t="s">
        <v>14</v>
      </c>
      <c r="C488" s="20">
        <v>87</v>
      </c>
      <c r="D488" s="21" t="s">
        <v>75</v>
      </c>
      <c r="E488" s="21" t="s">
        <v>13</v>
      </c>
      <c r="F488" s="20">
        <v>0.25</v>
      </c>
      <c r="G488" s="22">
        <f>C488*F488</f>
        <v>21.75</v>
      </c>
    </row>
    <row r="489" spans="1:7" ht="15" customHeight="1">
      <c r="A489" s="19" t="s">
        <v>113</v>
      </c>
      <c r="B489" s="20" t="s">
        <v>16</v>
      </c>
      <c r="C489" s="20">
        <v>83</v>
      </c>
      <c r="D489" s="21" t="s">
        <v>57</v>
      </c>
      <c r="E489" s="21" t="s">
        <v>18</v>
      </c>
      <c r="F489" s="20">
        <v>0.4</v>
      </c>
      <c r="G489" s="22">
        <f>C489*F489</f>
        <v>33.200000000000003</v>
      </c>
    </row>
    <row r="490" spans="1:7" ht="15" customHeight="1">
      <c r="A490" s="19" t="s">
        <v>113</v>
      </c>
      <c r="B490" s="20" t="s">
        <v>19</v>
      </c>
      <c r="C490" s="20">
        <v>84</v>
      </c>
      <c r="D490" s="21" t="s">
        <v>66</v>
      </c>
      <c r="E490" s="21" t="s">
        <v>21</v>
      </c>
      <c r="F490" s="20">
        <v>0.2</v>
      </c>
      <c r="G490" s="22">
        <f>C490*F490</f>
        <v>16.8</v>
      </c>
    </row>
    <row r="491" spans="1:7" ht="15" customHeight="1">
      <c r="A491" s="19" t="s">
        <v>113</v>
      </c>
      <c r="B491" s="20" t="s">
        <v>22</v>
      </c>
      <c r="C491" s="20">
        <v>84</v>
      </c>
      <c r="D491" s="21" t="s">
        <v>58</v>
      </c>
      <c r="E491" s="21" t="s">
        <v>24</v>
      </c>
      <c r="F491" s="20">
        <v>0.3</v>
      </c>
      <c r="G491" s="22">
        <f>C491*F491</f>
        <v>25.2</v>
      </c>
    </row>
    <row r="492" spans="1:7" ht="15" customHeight="1">
      <c r="A492" s="19" t="s">
        <v>113</v>
      </c>
      <c r="B492" s="20" t="s">
        <v>25</v>
      </c>
      <c r="C492" s="20">
        <v>86</v>
      </c>
      <c r="D492" s="21" t="s">
        <v>89</v>
      </c>
      <c r="E492" s="21" t="s">
        <v>27</v>
      </c>
      <c r="F492" s="20">
        <v>0.5</v>
      </c>
      <c r="G492" s="22">
        <f>C492*F492</f>
        <v>43</v>
      </c>
    </row>
    <row r="493" spans="1:7" ht="15" customHeight="1">
      <c r="A493" s="19" t="s">
        <v>113</v>
      </c>
      <c r="B493" s="20" t="s">
        <v>28</v>
      </c>
      <c r="C493" s="20">
        <v>88</v>
      </c>
      <c r="D493" s="21" t="s">
        <v>90</v>
      </c>
      <c r="E493" s="21" t="s">
        <v>30</v>
      </c>
      <c r="F493" s="20">
        <v>0.1</v>
      </c>
      <c r="G493" s="22">
        <f>C493*F493</f>
        <v>8.8000000000000007</v>
      </c>
    </row>
    <row r="494" spans="1:7" ht="15" customHeight="1">
      <c r="A494" s="19" t="s">
        <v>113</v>
      </c>
      <c r="B494" s="20" t="s">
        <v>31</v>
      </c>
      <c r="C494" s="20">
        <v>83</v>
      </c>
      <c r="D494" s="21" t="s">
        <v>62</v>
      </c>
      <c r="E494" s="21" t="s">
        <v>30</v>
      </c>
      <c r="F494" s="20">
        <v>0.2</v>
      </c>
      <c r="G494" s="22">
        <f>C494*F494</f>
        <v>16.600000000000001</v>
      </c>
    </row>
    <row r="495" spans="1:7" ht="15" customHeight="1">
      <c r="A495" s="19" t="s">
        <v>113</v>
      </c>
      <c r="B495" s="20" t="s">
        <v>33</v>
      </c>
      <c r="C495" s="20">
        <v>87</v>
      </c>
      <c r="D495" s="21" t="s">
        <v>98</v>
      </c>
      <c r="E495" s="21" t="s">
        <v>35</v>
      </c>
      <c r="F495" s="20">
        <v>0.35</v>
      </c>
      <c r="G495" s="22">
        <f>C495*F495</f>
        <v>30.45</v>
      </c>
    </row>
    <row r="496" spans="1:7" ht="15" customHeight="1">
      <c r="A496" s="19" t="s">
        <v>113</v>
      </c>
      <c r="B496" s="20" t="s">
        <v>36</v>
      </c>
      <c r="C496" s="20">
        <v>87</v>
      </c>
      <c r="D496" s="21" t="s">
        <v>111</v>
      </c>
      <c r="E496" s="21" t="s">
        <v>38</v>
      </c>
      <c r="F496" s="20">
        <v>0.35</v>
      </c>
      <c r="G496" s="22">
        <f>C496*F496</f>
        <v>30.45</v>
      </c>
    </row>
    <row r="497" spans="1:7" ht="15" customHeight="1">
      <c r="A497" s="19" t="s">
        <v>114</v>
      </c>
      <c r="B497" s="20" t="s">
        <v>8</v>
      </c>
      <c r="C497" s="20">
        <v>77</v>
      </c>
      <c r="D497" s="21" t="s">
        <v>56</v>
      </c>
      <c r="E497" s="21" t="s">
        <v>10</v>
      </c>
      <c r="F497" s="20">
        <v>0.15</v>
      </c>
      <c r="G497" s="22">
        <f>C497*F497</f>
        <v>11.549999999999999</v>
      </c>
    </row>
    <row r="498" spans="1:7" ht="15" customHeight="1">
      <c r="A498" s="19" t="s">
        <v>114</v>
      </c>
      <c r="B498" s="20" t="s">
        <v>11</v>
      </c>
      <c r="C498" s="20">
        <v>80</v>
      </c>
      <c r="D498" s="21" t="s">
        <v>61</v>
      </c>
      <c r="E498" s="21" t="s">
        <v>13</v>
      </c>
      <c r="F498" s="20">
        <v>0.2</v>
      </c>
      <c r="G498" s="22">
        <f>C498*F498</f>
        <v>16</v>
      </c>
    </row>
    <row r="499" spans="1:7" ht="15" customHeight="1">
      <c r="A499" s="19" t="s">
        <v>114</v>
      </c>
      <c r="B499" s="20" t="s">
        <v>14</v>
      </c>
      <c r="C499" s="20">
        <v>81</v>
      </c>
      <c r="D499" s="21" t="s">
        <v>61</v>
      </c>
      <c r="E499" s="21" t="s">
        <v>13</v>
      </c>
      <c r="F499" s="20">
        <v>0.25</v>
      </c>
      <c r="G499" s="22">
        <f>C499*F499</f>
        <v>20.25</v>
      </c>
    </row>
    <row r="500" spans="1:7" ht="15" customHeight="1">
      <c r="A500" s="19" t="s">
        <v>114</v>
      </c>
      <c r="B500" s="20" t="s">
        <v>16</v>
      </c>
      <c r="C500" s="20">
        <v>76</v>
      </c>
      <c r="D500" s="21" t="s">
        <v>57</v>
      </c>
      <c r="E500" s="21" t="s">
        <v>18</v>
      </c>
      <c r="F500" s="20">
        <v>0.4</v>
      </c>
      <c r="G500" s="22">
        <f>C500*F500</f>
        <v>30.400000000000002</v>
      </c>
    </row>
    <row r="501" spans="1:7" ht="15" customHeight="1">
      <c r="A501" s="19" t="s">
        <v>114</v>
      </c>
      <c r="B501" s="20" t="s">
        <v>19</v>
      </c>
      <c r="C501" s="20">
        <v>78</v>
      </c>
      <c r="D501" s="21" t="s">
        <v>66</v>
      </c>
      <c r="E501" s="21" t="s">
        <v>21</v>
      </c>
      <c r="F501" s="20">
        <v>0.2</v>
      </c>
      <c r="G501" s="22">
        <f>C501*F501</f>
        <v>15.600000000000001</v>
      </c>
    </row>
    <row r="502" spans="1:7" ht="15" customHeight="1">
      <c r="A502" s="19" t="s">
        <v>114</v>
      </c>
      <c r="B502" s="20" t="s">
        <v>22</v>
      </c>
      <c r="C502" s="20">
        <v>80</v>
      </c>
      <c r="D502" s="21" t="s">
        <v>58</v>
      </c>
      <c r="E502" s="21" t="s">
        <v>24</v>
      </c>
      <c r="F502" s="20">
        <v>0.3</v>
      </c>
      <c r="G502" s="22">
        <f>C502*F502</f>
        <v>24</v>
      </c>
    </row>
    <row r="503" spans="1:7" ht="15" customHeight="1">
      <c r="A503" s="19" t="s">
        <v>114</v>
      </c>
      <c r="B503" s="20" t="s">
        <v>25</v>
      </c>
      <c r="C503" s="20">
        <v>77</v>
      </c>
      <c r="D503" s="21" t="s">
        <v>67</v>
      </c>
      <c r="E503" s="21" t="s">
        <v>27</v>
      </c>
      <c r="F503" s="20">
        <v>0.5</v>
      </c>
      <c r="G503" s="22">
        <f>C503*F503</f>
        <v>38.5</v>
      </c>
    </row>
    <row r="504" spans="1:7" ht="15" customHeight="1">
      <c r="A504" s="19" t="s">
        <v>114</v>
      </c>
      <c r="B504" s="20" t="s">
        <v>28</v>
      </c>
      <c r="C504" s="20">
        <v>78</v>
      </c>
      <c r="D504" s="21" t="s">
        <v>62</v>
      </c>
      <c r="E504" s="21" t="s">
        <v>30</v>
      </c>
      <c r="F504" s="20">
        <v>0.1</v>
      </c>
      <c r="G504" s="22">
        <f>C504*F504</f>
        <v>7.8000000000000007</v>
      </c>
    </row>
    <row r="505" spans="1:7" ht="15" customHeight="1">
      <c r="A505" s="19" t="s">
        <v>114</v>
      </c>
      <c r="B505" s="20" t="s">
        <v>31</v>
      </c>
      <c r="C505" s="20">
        <v>82</v>
      </c>
      <c r="D505" s="21" t="s">
        <v>62</v>
      </c>
      <c r="E505" s="21" t="s">
        <v>30</v>
      </c>
      <c r="F505" s="20">
        <v>0.2</v>
      </c>
      <c r="G505" s="22">
        <f>C505*F505</f>
        <v>16.400000000000002</v>
      </c>
    </row>
    <row r="506" spans="1:7" ht="15" customHeight="1">
      <c r="A506" s="19" t="s">
        <v>114</v>
      </c>
      <c r="B506" s="20" t="s">
        <v>33</v>
      </c>
      <c r="C506" s="20">
        <v>78</v>
      </c>
      <c r="D506" s="21" t="s">
        <v>63</v>
      </c>
      <c r="E506" s="21" t="s">
        <v>35</v>
      </c>
      <c r="F506" s="20">
        <v>0.35</v>
      </c>
      <c r="G506" s="22">
        <f>C506*F506</f>
        <v>27.299999999999997</v>
      </c>
    </row>
    <row r="507" spans="1:7" ht="15" customHeight="1">
      <c r="A507" s="19" t="s">
        <v>114</v>
      </c>
      <c r="B507" s="20" t="s">
        <v>36</v>
      </c>
      <c r="C507" s="20">
        <v>77</v>
      </c>
      <c r="D507" s="21" t="s">
        <v>59</v>
      </c>
      <c r="E507" s="21" t="s">
        <v>38</v>
      </c>
      <c r="F507" s="20">
        <v>0.35</v>
      </c>
      <c r="G507" s="22">
        <f>C507*F507</f>
        <v>26.95</v>
      </c>
    </row>
    <row r="508" spans="1:7" ht="15" customHeight="1">
      <c r="A508" s="19" t="s">
        <v>115</v>
      </c>
      <c r="B508" s="20" t="s">
        <v>8</v>
      </c>
      <c r="C508" s="20">
        <v>70</v>
      </c>
      <c r="D508" s="21" t="s">
        <v>40</v>
      </c>
      <c r="E508" s="21" t="s">
        <v>10</v>
      </c>
      <c r="F508" s="20">
        <v>0.15</v>
      </c>
      <c r="G508" s="22">
        <f>C508*F508</f>
        <v>10.5</v>
      </c>
    </row>
    <row r="509" spans="1:7" ht="15" customHeight="1">
      <c r="A509" s="19" t="s">
        <v>115</v>
      </c>
      <c r="B509" s="20" t="s">
        <v>11</v>
      </c>
      <c r="C509" s="20">
        <v>70</v>
      </c>
      <c r="D509" s="21" t="s">
        <v>41</v>
      </c>
      <c r="E509" s="21" t="s">
        <v>13</v>
      </c>
      <c r="F509" s="20">
        <v>0.2</v>
      </c>
      <c r="G509" s="22">
        <f>C509*F509</f>
        <v>14</v>
      </c>
    </row>
    <row r="510" spans="1:7" ht="15" customHeight="1">
      <c r="A510" s="19" t="s">
        <v>115</v>
      </c>
      <c r="B510" s="20" t="s">
        <v>14</v>
      </c>
      <c r="C510" s="20">
        <v>69</v>
      </c>
      <c r="D510" s="21" t="s">
        <v>41</v>
      </c>
      <c r="E510" s="21" t="s">
        <v>13</v>
      </c>
      <c r="F510" s="20">
        <v>0.25</v>
      </c>
      <c r="G510" s="22">
        <f>C510*F510</f>
        <v>17.25</v>
      </c>
    </row>
    <row r="511" spans="1:7" ht="15" customHeight="1">
      <c r="A511" s="19" t="s">
        <v>115</v>
      </c>
      <c r="B511" s="20" t="s">
        <v>16</v>
      </c>
      <c r="C511" s="20">
        <v>72</v>
      </c>
      <c r="D511" s="21" t="s">
        <v>42</v>
      </c>
      <c r="E511" s="21" t="s">
        <v>18</v>
      </c>
      <c r="F511" s="20">
        <v>0.4</v>
      </c>
      <c r="G511" s="22">
        <f>C511*F511</f>
        <v>28.8</v>
      </c>
    </row>
    <row r="512" spans="1:7" ht="15" customHeight="1">
      <c r="A512" s="19" t="s">
        <v>115</v>
      </c>
      <c r="B512" s="20" t="s">
        <v>19</v>
      </c>
      <c r="C512" s="20">
        <v>75</v>
      </c>
      <c r="D512" s="21" t="s">
        <v>66</v>
      </c>
      <c r="E512" s="21" t="s">
        <v>21</v>
      </c>
      <c r="F512" s="20">
        <v>0.2</v>
      </c>
      <c r="G512" s="22">
        <f>C512*F512</f>
        <v>15</v>
      </c>
    </row>
    <row r="513" spans="1:7" ht="15" customHeight="1">
      <c r="A513" s="19" t="s">
        <v>115</v>
      </c>
      <c r="B513" s="20" t="s">
        <v>22</v>
      </c>
      <c r="C513" s="20">
        <v>77</v>
      </c>
      <c r="D513" s="21" t="s">
        <v>58</v>
      </c>
      <c r="E513" s="21" t="s">
        <v>24</v>
      </c>
      <c r="F513" s="20">
        <v>0.3</v>
      </c>
      <c r="G513" s="22">
        <f>C513*F513</f>
        <v>23.099999999999998</v>
      </c>
    </row>
    <row r="514" spans="1:7" ht="15" customHeight="1">
      <c r="A514" s="19" t="s">
        <v>115</v>
      </c>
      <c r="B514" s="20" t="s">
        <v>25</v>
      </c>
      <c r="C514" s="20">
        <v>71</v>
      </c>
      <c r="D514" s="21" t="s">
        <v>45</v>
      </c>
      <c r="E514" s="21" t="s">
        <v>27</v>
      </c>
      <c r="F514" s="20">
        <v>0.5</v>
      </c>
      <c r="G514" s="22">
        <f>C514*F514</f>
        <v>35.5</v>
      </c>
    </row>
    <row r="515" spans="1:7" ht="15" customHeight="1">
      <c r="A515" s="19" t="s">
        <v>115</v>
      </c>
      <c r="B515" s="20" t="s">
        <v>28</v>
      </c>
      <c r="C515" s="20">
        <v>69</v>
      </c>
      <c r="D515" s="21" t="s">
        <v>46</v>
      </c>
      <c r="E515" s="21" t="s">
        <v>30</v>
      </c>
      <c r="F515" s="20">
        <v>0.1</v>
      </c>
      <c r="G515" s="22">
        <f>C515*F515</f>
        <v>6.9</v>
      </c>
    </row>
    <row r="516" spans="1:7" ht="15" customHeight="1">
      <c r="A516" s="19" t="s">
        <v>115</v>
      </c>
      <c r="B516" s="20" t="s">
        <v>31</v>
      </c>
      <c r="C516" s="20">
        <v>72</v>
      </c>
      <c r="D516" s="21" t="s">
        <v>46</v>
      </c>
      <c r="E516" s="21" t="s">
        <v>30</v>
      </c>
      <c r="F516" s="20">
        <v>0.2</v>
      </c>
      <c r="G516" s="22">
        <f>C516*F516</f>
        <v>14.4</v>
      </c>
    </row>
    <row r="517" spans="1:7" ht="15" customHeight="1">
      <c r="A517" s="19" t="s">
        <v>115</v>
      </c>
      <c r="B517" s="20" t="s">
        <v>33</v>
      </c>
      <c r="C517" s="20">
        <v>71</v>
      </c>
      <c r="D517" s="21" t="s">
        <v>47</v>
      </c>
      <c r="E517" s="21" t="s">
        <v>35</v>
      </c>
      <c r="F517" s="20">
        <v>0.35</v>
      </c>
      <c r="G517" s="22">
        <f>C517*F517</f>
        <v>24.849999999999998</v>
      </c>
    </row>
    <row r="518" spans="1:7" ht="15" customHeight="1">
      <c r="A518" s="19" t="s">
        <v>115</v>
      </c>
      <c r="B518" s="20" t="s">
        <v>36</v>
      </c>
      <c r="C518" s="20">
        <v>73</v>
      </c>
      <c r="D518" s="21" t="s">
        <v>51</v>
      </c>
      <c r="E518" s="21" t="s">
        <v>38</v>
      </c>
      <c r="F518" s="20">
        <v>0.35</v>
      </c>
      <c r="G518" s="22">
        <f>C518*F518</f>
        <v>25.549999999999997</v>
      </c>
    </row>
    <row r="519" spans="1:7" ht="15" customHeight="1">
      <c r="A519" s="19" t="s">
        <v>116</v>
      </c>
      <c r="B519" s="20" t="s">
        <v>8</v>
      </c>
      <c r="C519" s="20">
        <v>74</v>
      </c>
      <c r="D519" s="21" t="s">
        <v>40</v>
      </c>
      <c r="E519" s="21" t="s">
        <v>10</v>
      </c>
      <c r="F519" s="20">
        <v>0.15</v>
      </c>
      <c r="G519" s="22">
        <f>C519*F519</f>
        <v>11.1</v>
      </c>
    </row>
    <row r="520" spans="1:7" ht="15" customHeight="1">
      <c r="A520" s="19" t="s">
        <v>116</v>
      </c>
      <c r="B520" s="20" t="s">
        <v>11</v>
      </c>
      <c r="C520" s="20">
        <v>77</v>
      </c>
      <c r="D520" s="21" t="s">
        <v>61</v>
      </c>
      <c r="E520" s="21" t="s">
        <v>13</v>
      </c>
      <c r="F520" s="20">
        <v>0.2</v>
      </c>
      <c r="G520" s="22">
        <f>C520*F520</f>
        <v>15.4</v>
      </c>
    </row>
    <row r="521" spans="1:7" ht="15" customHeight="1">
      <c r="A521" s="19" t="s">
        <v>116</v>
      </c>
      <c r="B521" s="20" t="s">
        <v>14</v>
      </c>
      <c r="C521" s="20">
        <v>79</v>
      </c>
      <c r="D521" s="21" t="s">
        <v>61</v>
      </c>
      <c r="E521" s="21" t="s">
        <v>13</v>
      </c>
      <c r="F521" s="20">
        <v>0.25</v>
      </c>
      <c r="G521" s="22">
        <f>C521*F521</f>
        <v>19.75</v>
      </c>
    </row>
    <row r="522" spans="1:7" ht="15" customHeight="1">
      <c r="A522" s="19" t="s">
        <v>116</v>
      </c>
      <c r="B522" s="20" t="s">
        <v>16</v>
      </c>
      <c r="C522" s="20">
        <v>78</v>
      </c>
      <c r="D522" s="21" t="s">
        <v>57</v>
      </c>
      <c r="E522" s="21" t="s">
        <v>18</v>
      </c>
      <c r="F522" s="20">
        <v>0.4</v>
      </c>
      <c r="G522" s="22">
        <f>C522*F522</f>
        <v>31.200000000000003</v>
      </c>
    </row>
    <row r="523" spans="1:7" ht="15" customHeight="1">
      <c r="A523" s="19" t="s">
        <v>116</v>
      </c>
      <c r="B523" s="20" t="s">
        <v>19</v>
      </c>
      <c r="C523" s="20">
        <v>77</v>
      </c>
      <c r="D523" s="21" t="s">
        <v>66</v>
      </c>
      <c r="E523" s="21" t="s">
        <v>21</v>
      </c>
      <c r="F523" s="20">
        <v>0.2</v>
      </c>
      <c r="G523" s="22">
        <f>C523*F523</f>
        <v>15.4</v>
      </c>
    </row>
    <row r="524" spans="1:7" ht="15" customHeight="1">
      <c r="A524" s="19" t="s">
        <v>116</v>
      </c>
      <c r="B524" s="20" t="s">
        <v>22</v>
      </c>
      <c r="C524" s="20">
        <v>71</v>
      </c>
      <c r="D524" s="21" t="s">
        <v>44</v>
      </c>
      <c r="E524" s="21" t="s">
        <v>24</v>
      </c>
      <c r="F524" s="20">
        <v>0.3</v>
      </c>
      <c r="G524" s="22">
        <f>C524*F524</f>
        <v>21.3</v>
      </c>
    </row>
    <row r="525" spans="1:7" ht="15" customHeight="1">
      <c r="A525" s="19" t="s">
        <v>116</v>
      </c>
      <c r="B525" s="20" t="s">
        <v>25</v>
      </c>
      <c r="C525" s="20">
        <v>73</v>
      </c>
      <c r="D525" s="21" t="s">
        <v>45</v>
      </c>
      <c r="E525" s="21" t="s">
        <v>27</v>
      </c>
      <c r="F525" s="20">
        <v>0.5</v>
      </c>
      <c r="G525" s="22">
        <f>C525*F525</f>
        <v>36.5</v>
      </c>
    </row>
    <row r="526" spans="1:7" ht="15" customHeight="1">
      <c r="A526" s="19" t="s">
        <v>116</v>
      </c>
      <c r="B526" s="20" t="s">
        <v>28</v>
      </c>
      <c r="C526" s="20">
        <v>76</v>
      </c>
      <c r="D526" s="21" t="s">
        <v>62</v>
      </c>
      <c r="E526" s="21" t="s">
        <v>30</v>
      </c>
      <c r="F526" s="20">
        <v>0.1</v>
      </c>
      <c r="G526" s="22">
        <f>C526*F526</f>
        <v>7.6000000000000005</v>
      </c>
    </row>
    <row r="527" spans="1:7" ht="15" customHeight="1">
      <c r="A527" s="19" t="s">
        <v>116</v>
      </c>
      <c r="B527" s="20" t="s">
        <v>31</v>
      </c>
      <c r="C527" s="20">
        <v>78</v>
      </c>
      <c r="D527" s="21" t="s">
        <v>62</v>
      </c>
      <c r="E527" s="21" t="s">
        <v>30</v>
      </c>
      <c r="F527" s="20">
        <v>0.2</v>
      </c>
      <c r="G527" s="22">
        <f>C527*F527</f>
        <v>15.600000000000001</v>
      </c>
    </row>
    <row r="528" spans="1:7" ht="15" customHeight="1">
      <c r="A528" s="19" t="s">
        <v>116</v>
      </c>
      <c r="B528" s="20" t="s">
        <v>33</v>
      </c>
      <c r="C528" s="20">
        <v>75</v>
      </c>
      <c r="D528" s="21" t="s">
        <v>63</v>
      </c>
      <c r="E528" s="21" t="s">
        <v>35</v>
      </c>
      <c r="F528" s="20">
        <v>0.35</v>
      </c>
      <c r="G528" s="22">
        <f>C528*F528</f>
        <v>26.25</v>
      </c>
    </row>
    <row r="529" spans="1:7" ht="15" customHeight="1">
      <c r="A529" s="19" t="s">
        <v>116</v>
      </c>
      <c r="B529" s="20" t="s">
        <v>36</v>
      </c>
      <c r="C529" s="20">
        <v>79</v>
      </c>
      <c r="D529" s="21" t="s">
        <v>59</v>
      </c>
      <c r="E529" s="21" t="s">
        <v>38</v>
      </c>
      <c r="F529" s="20">
        <v>0.35</v>
      </c>
      <c r="G529" s="22">
        <f>C529*F529</f>
        <v>27.65</v>
      </c>
    </row>
    <row r="530" spans="1:7" ht="15" customHeight="1">
      <c r="A530" s="19" t="s">
        <v>117</v>
      </c>
      <c r="B530" s="20" t="s">
        <v>8</v>
      </c>
      <c r="C530" s="20">
        <v>54</v>
      </c>
      <c r="D530" s="21" t="s">
        <v>9</v>
      </c>
      <c r="E530" s="21" t="s">
        <v>10</v>
      </c>
      <c r="F530" s="20">
        <v>0.15</v>
      </c>
      <c r="G530" s="22">
        <f>C530*F530</f>
        <v>8.1</v>
      </c>
    </row>
    <row r="531" spans="1:7" ht="15" customHeight="1">
      <c r="A531" s="19" t="s">
        <v>117</v>
      </c>
      <c r="B531" s="20" t="s">
        <v>11</v>
      </c>
      <c r="C531" s="20">
        <v>50</v>
      </c>
      <c r="D531" s="21" t="s">
        <v>15</v>
      </c>
      <c r="E531" s="21" t="s">
        <v>13</v>
      </c>
      <c r="F531" s="20">
        <v>0.2</v>
      </c>
      <c r="G531" s="22">
        <f>C531*F531</f>
        <v>10</v>
      </c>
    </row>
    <row r="532" spans="1:7" ht="15" customHeight="1">
      <c r="A532" s="19" t="s">
        <v>117</v>
      </c>
      <c r="B532" s="20" t="s">
        <v>14</v>
      </c>
      <c r="C532" s="20">
        <v>56</v>
      </c>
      <c r="D532" s="21" t="s">
        <v>15</v>
      </c>
      <c r="E532" s="21" t="s">
        <v>13</v>
      </c>
      <c r="F532" s="20">
        <v>0.25</v>
      </c>
      <c r="G532" s="22">
        <f>C532*F532</f>
        <v>14</v>
      </c>
    </row>
    <row r="533" spans="1:7" ht="15" customHeight="1">
      <c r="A533" s="19" t="s">
        <v>117</v>
      </c>
      <c r="B533" s="20" t="s">
        <v>16</v>
      </c>
      <c r="C533" s="20">
        <v>50</v>
      </c>
      <c r="D533" s="21" t="s">
        <v>17</v>
      </c>
      <c r="E533" s="21" t="s">
        <v>18</v>
      </c>
      <c r="F533" s="20">
        <v>0.4</v>
      </c>
      <c r="G533" s="22">
        <f>C533*F533</f>
        <v>20</v>
      </c>
    </row>
    <row r="534" spans="1:7" ht="15" customHeight="1">
      <c r="A534" s="19" t="s">
        <v>117</v>
      </c>
      <c r="B534" s="20" t="s">
        <v>19</v>
      </c>
      <c r="C534" s="20">
        <v>49</v>
      </c>
      <c r="D534" s="21" t="s">
        <v>53</v>
      </c>
      <c r="E534" s="21" t="s">
        <v>21</v>
      </c>
      <c r="F534" s="20">
        <v>0.2</v>
      </c>
      <c r="G534" s="22">
        <f>C534*F534</f>
        <v>9.8000000000000007</v>
      </c>
    </row>
    <row r="535" spans="1:7" ht="15" customHeight="1">
      <c r="A535" s="19" t="s">
        <v>117</v>
      </c>
      <c r="B535" s="20" t="s">
        <v>22</v>
      </c>
      <c r="C535" s="20">
        <v>51</v>
      </c>
      <c r="D535" s="21" t="s">
        <v>23</v>
      </c>
      <c r="E535" s="21" t="s">
        <v>24</v>
      </c>
      <c r="F535" s="20">
        <v>0.3</v>
      </c>
      <c r="G535" s="22">
        <f>C535*F535</f>
        <v>15.299999999999999</v>
      </c>
    </row>
    <row r="536" spans="1:7" ht="15" customHeight="1">
      <c r="A536" s="19" t="s">
        <v>117</v>
      </c>
      <c r="B536" s="20" t="s">
        <v>25</v>
      </c>
      <c r="C536" s="20">
        <v>51</v>
      </c>
      <c r="D536" s="21" t="s">
        <v>50</v>
      </c>
      <c r="E536" s="21" t="s">
        <v>27</v>
      </c>
      <c r="F536" s="20">
        <v>0.5</v>
      </c>
      <c r="G536" s="22">
        <f>C536*F536</f>
        <v>25.5</v>
      </c>
    </row>
    <row r="537" spans="1:7" ht="15" customHeight="1">
      <c r="A537" s="19" t="s">
        <v>117</v>
      </c>
      <c r="B537" s="20" t="s">
        <v>28</v>
      </c>
      <c r="C537" s="20">
        <v>51</v>
      </c>
      <c r="D537" s="21" t="s">
        <v>29</v>
      </c>
      <c r="E537" s="21" t="s">
        <v>30</v>
      </c>
      <c r="F537" s="20">
        <v>0.1</v>
      </c>
      <c r="G537" s="22">
        <f>C537*F537</f>
        <v>5.1000000000000005</v>
      </c>
    </row>
    <row r="538" spans="1:7" ht="15" customHeight="1">
      <c r="A538" s="19" t="s">
        <v>117</v>
      </c>
      <c r="B538" s="20" t="s">
        <v>31</v>
      </c>
      <c r="C538" s="20">
        <v>51</v>
      </c>
      <c r="D538" s="21" t="s">
        <v>29</v>
      </c>
      <c r="E538" s="21" t="s">
        <v>30</v>
      </c>
      <c r="F538" s="20">
        <v>0.2</v>
      </c>
      <c r="G538" s="22">
        <f>C538*F538</f>
        <v>10.200000000000001</v>
      </c>
    </row>
    <row r="539" spans="1:7" ht="15" customHeight="1">
      <c r="A539" s="19" t="s">
        <v>117</v>
      </c>
      <c r="B539" s="20" t="s">
        <v>33</v>
      </c>
      <c r="C539" s="20">
        <v>49</v>
      </c>
      <c r="D539" s="21" t="s">
        <v>118</v>
      </c>
      <c r="E539" s="21" t="s">
        <v>35</v>
      </c>
      <c r="F539" s="20">
        <v>0.35</v>
      </c>
      <c r="G539" s="22">
        <f>C539*F539</f>
        <v>17.149999999999999</v>
      </c>
    </row>
    <row r="540" spans="1:7" ht="15" customHeight="1">
      <c r="A540" s="19" t="s">
        <v>117</v>
      </c>
      <c r="B540" s="20" t="s">
        <v>36</v>
      </c>
      <c r="C540" s="20">
        <v>52</v>
      </c>
      <c r="D540" s="21" t="s">
        <v>48</v>
      </c>
      <c r="E540" s="21" t="s">
        <v>38</v>
      </c>
      <c r="F540" s="20">
        <v>0.35</v>
      </c>
      <c r="G540" s="22">
        <f>C540*F540</f>
        <v>18.2</v>
      </c>
    </row>
    <row r="541" spans="1:7" ht="15" customHeight="1">
      <c r="A541" s="19" t="s">
        <v>119</v>
      </c>
      <c r="B541" s="20" t="s">
        <v>8</v>
      </c>
      <c r="C541" s="20">
        <v>58</v>
      </c>
      <c r="D541" s="21" t="s">
        <v>9</v>
      </c>
      <c r="E541" s="21" t="s">
        <v>10</v>
      </c>
      <c r="F541" s="20">
        <v>0.15</v>
      </c>
      <c r="G541" s="22">
        <f>C541*F541</f>
        <v>8.6999999999999993</v>
      </c>
    </row>
    <row r="542" spans="1:7" ht="15" customHeight="1">
      <c r="A542" s="19" t="s">
        <v>119</v>
      </c>
      <c r="B542" s="20" t="s">
        <v>11</v>
      </c>
      <c r="C542" s="20">
        <v>59</v>
      </c>
      <c r="D542" s="21" t="s">
        <v>15</v>
      </c>
      <c r="E542" s="21" t="s">
        <v>13</v>
      </c>
      <c r="F542" s="20">
        <v>0.2</v>
      </c>
      <c r="G542" s="22">
        <f>C542*F542</f>
        <v>11.8</v>
      </c>
    </row>
    <row r="543" spans="1:7" ht="15" customHeight="1">
      <c r="A543" s="19" t="s">
        <v>119</v>
      </c>
      <c r="B543" s="20" t="s">
        <v>14</v>
      </c>
      <c r="C543" s="20">
        <v>59</v>
      </c>
      <c r="D543" s="21" t="s">
        <v>15</v>
      </c>
      <c r="E543" s="21" t="s">
        <v>13</v>
      </c>
      <c r="F543" s="20">
        <v>0.25</v>
      </c>
      <c r="G543" s="22">
        <f>C543*F543</f>
        <v>14.75</v>
      </c>
    </row>
    <row r="544" spans="1:7" ht="15" customHeight="1">
      <c r="A544" s="19" t="s">
        <v>119</v>
      </c>
      <c r="B544" s="20" t="s">
        <v>16</v>
      </c>
      <c r="C544" s="20">
        <v>58</v>
      </c>
      <c r="D544" s="21" t="s">
        <v>17</v>
      </c>
      <c r="E544" s="21" t="s">
        <v>18</v>
      </c>
      <c r="F544" s="20">
        <v>0.4</v>
      </c>
      <c r="G544" s="22">
        <f>C544*F544</f>
        <v>23.200000000000003</v>
      </c>
    </row>
    <row r="545" spans="1:7" ht="15" customHeight="1">
      <c r="A545" s="19" t="s">
        <v>119</v>
      </c>
      <c r="B545" s="20" t="s">
        <v>19</v>
      </c>
      <c r="C545" s="20">
        <v>61</v>
      </c>
      <c r="D545" s="21" t="s">
        <v>20</v>
      </c>
      <c r="E545" s="21" t="s">
        <v>21</v>
      </c>
      <c r="F545" s="20">
        <v>0.2</v>
      </c>
      <c r="G545" s="22">
        <f>C545*F545</f>
        <v>12.200000000000001</v>
      </c>
    </row>
    <row r="546" spans="1:7" ht="15" customHeight="1">
      <c r="A546" s="19" t="s">
        <v>119</v>
      </c>
      <c r="B546" s="20" t="s">
        <v>22</v>
      </c>
      <c r="C546" s="20">
        <v>59</v>
      </c>
      <c r="D546" s="21" t="s">
        <v>23</v>
      </c>
      <c r="E546" s="21" t="s">
        <v>24</v>
      </c>
      <c r="F546" s="20">
        <v>0.3</v>
      </c>
      <c r="G546" s="22">
        <f>C546*F546</f>
        <v>17.7</v>
      </c>
    </row>
    <row r="547" spans="1:7" ht="15" customHeight="1">
      <c r="A547" s="19" t="s">
        <v>119</v>
      </c>
      <c r="B547" s="20" t="s">
        <v>25</v>
      </c>
      <c r="C547" s="20">
        <v>59</v>
      </c>
      <c r="D547" s="21" t="s">
        <v>50</v>
      </c>
      <c r="E547" s="21" t="s">
        <v>27</v>
      </c>
      <c r="F547" s="20">
        <v>0.5</v>
      </c>
      <c r="G547" s="22">
        <f>C547*F547</f>
        <v>29.5</v>
      </c>
    </row>
    <row r="548" spans="1:7" ht="15" customHeight="1">
      <c r="A548" s="19" t="s">
        <v>119</v>
      </c>
      <c r="B548" s="20" t="s">
        <v>28</v>
      </c>
      <c r="C548" s="20">
        <v>62</v>
      </c>
      <c r="D548" s="21" t="s">
        <v>29</v>
      </c>
      <c r="E548" s="21" t="s">
        <v>30</v>
      </c>
      <c r="F548" s="20">
        <v>0.1</v>
      </c>
      <c r="G548" s="22">
        <f>C548*F548</f>
        <v>6.2</v>
      </c>
    </row>
    <row r="549" spans="1:7" ht="15" customHeight="1">
      <c r="A549" s="19" t="s">
        <v>119</v>
      </c>
      <c r="B549" s="20" t="s">
        <v>31</v>
      </c>
      <c r="C549" s="20">
        <v>61</v>
      </c>
      <c r="D549" s="21" t="s">
        <v>29</v>
      </c>
      <c r="E549" s="21" t="s">
        <v>30</v>
      </c>
      <c r="F549" s="20">
        <v>0.2</v>
      </c>
      <c r="G549" s="22">
        <f>C549*F549</f>
        <v>12.200000000000001</v>
      </c>
    </row>
    <row r="550" spans="1:7" ht="15" customHeight="1">
      <c r="A550" s="19" t="s">
        <v>119</v>
      </c>
      <c r="B550" s="20" t="s">
        <v>33</v>
      </c>
      <c r="C550" s="20">
        <v>57</v>
      </c>
      <c r="D550" s="21" t="s">
        <v>34</v>
      </c>
      <c r="E550" s="21" t="s">
        <v>35</v>
      </c>
      <c r="F550" s="20">
        <v>0.35</v>
      </c>
      <c r="G550" s="22">
        <f>C550*F550</f>
        <v>19.95</v>
      </c>
    </row>
    <row r="551" spans="1:7" ht="15" customHeight="1">
      <c r="A551" s="19" t="s">
        <v>119</v>
      </c>
      <c r="B551" s="20" t="s">
        <v>36</v>
      </c>
      <c r="C551" s="20">
        <v>58</v>
      </c>
      <c r="D551" s="21" t="s">
        <v>48</v>
      </c>
      <c r="E551" s="21" t="s">
        <v>38</v>
      </c>
      <c r="F551" s="20">
        <v>0.35</v>
      </c>
      <c r="G551" s="22">
        <f>C551*F551</f>
        <v>20.299999999999997</v>
      </c>
    </row>
    <row r="552" spans="1:7" ht="15" customHeight="1">
      <c r="A552" s="19" t="s">
        <v>120</v>
      </c>
      <c r="B552" s="20" t="s">
        <v>8</v>
      </c>
      <c r="C552" s="20">
        <v>79</v>
      </c>
      <c r="D552" s="21" t="s">
        <v>56</v>
      </c>
      <c r="E552" s="21" t="s">
        <v>10</v>
      </c>
      <c r="F552" s="20">
        <v>0.15</v>
      </c>
      <c r="G552" s="22">
        <f>C552*F552</f>
        <v>11.85</v>
      </c>
    </row>
    <row r="553" spans="1:7" ht="15" customHeight="1">
      <c r="A553" s="19" t="s">
        <v>120</v>
      </c>
      <c r="B553" s="20" t="s">
        <v>11</v>
      </c>
      <c r="C553" s="20">
        <v>76</v>
      </c>
      <c r="D553" s="21" t="s">
        <v>61</v>
      </c>
      <c r="E553" s="21" t="s">
        <v>13</v>
      </c>
      <c r="F553" s="20">
        <v>0.2</v>
      </c>
      <c r="G553" s="22">
        <f>C553*F553</f>
        <v>15.200000000000001</v>
      </c>
    </row>
    <row r="554" spans="1:7" ht="15" customHeight="1">
      <c r="A554" s="19" t="s">
        <v>120</v>
      </c>
      <c r="B554" s="20" t="s">
        <v>14</v>
      </c>
      <c r="C554" s="20">
        <v>74</v>
      </c>
      <c r="D554" s="21" t="s">
        <v>41</v>
      </c>
      <c r="E554" s="21" t="s">
        <v>13</v>
      </c>
      <c r="F554" s="20">
        <v>0.25</v>
      </c>
      <c r="G554" s="22">
        <f>C554*F554</f>
        <v>18.5</v>
      </c>
    </row>
    <row r="555" spans="1:7" ht="15" customHeight="1">
      <c r="A555" s="19" t="s">
        <v>120</v>
      </c>
      <c r="B555" s="20" t="s">
        <v>16</v>
      </c>
      <c r="C555" s="20">
        <v>79</v>
      </c>
      <c r="D555" s="21" t="s">
        <v>57</v>
      </c>
      <c r="E555" s="21" t="s">
        <v>18</v>
      </c>
      <c r="F555" s="20">
        <v>0.4</v>
      </c>
      <c r="G555" s="22">
        <f>C555*F555</f>
        <v>31.6</v>
      </c>
    </row>
    <row r="556" spans="1:7" ht="15" customHeight="1">
      <c r="A556" s="19" t="s">
        <v>120</v>
      </c>
      <c r="B556" s="20" t="s">
        <v>19</v>
      </c>
      <c r="C556" s="20">
        <v>83</v>
      </c>
      <c r="D556" s="21" t="s">
        <v>66</v>
      </c>
      <c r="E556" s="21" t="s">
        <v>21</v>
      </c>
      <c r="F556" s="20">
        <v>0.2</v>
      </c>
      <c r="G556" s="22">
        <f>C556*F556</f>
        <v>16.600000000000001</v>
      </c>
    </row>
    <row r="557" spans="1:7" ht="15" customHeight="1">
      <c r="A557" s="19" t="s">
        <v>120</v>
      </c>
      <c r="B557" s="20" t="s">
        <v>22</v>
      </c>
      <c r="C557" s="20">
        <v>80</v>
      </c>
      <c r="D557" s="21" t="s">
        <v>58</v>
      </c>
      <c r="E557" s="21" t="s">
        <v>24</v>
      </c>
      <c r="F557" s="20">
        <v>0.3</v>
      </c>
      <c r="G557" s="22">
        <f>C557*F557</f>
        <v>24</v>
      </c>
    </row>
    <row r="558" spans="1:7" ht="15" customHeight="1">
      <c r="A558" s="19" t="s">
        <v>120</v>
      </c>
      <c r="B558" s="20" t="s">
        <v>25</v>
      </c>
      <c r="C558" s="20">
        <v>82</v>
      </c>
      <c r="D558" s="21" t="s">
        <v>67</v>
      </c>
      <c r="E558" s="21" t="s">
        <v>27</v>
      </c>
      <c r="F558" s="20">
        <v>0.5</v>
      </c>
      <c r="G558" s="22">
        <f>C558*F558</f>
        <v>41</v>
      </c>
    </row>
    <row r="559" spans="1:7" ht="15" customHeight="1">
      <c r="A559" s="19" t="s">
        <v>120</v>
      </c>
      <c r="B559" s="20" t="s">
        <v>28</v>
      </c>
      <c r="C559" s="20">
        <v>78</v>
      </c>
      <c r="D559" s="21" t="s">
        <v>62</v>
      </c>
      <c r="E559" s="21" t="s">
        <v>30</v>
      </c>
      <c r="F559" s="20">
        <v>0.1</v>
      </c>
      <c r="G559" s="22">
        <f>C559*F559</f>
        <v>7.8000000000000007</v>
      </c>
    </row>
    <row r="560" spans="1:7" ht="15" customHeight="1">
      <c r="A560" s="19" t="s">
        <v>120</v>
      </c>
      <c r="B560" s="20" t="s">
        <v>31</v>
      </c>
      <c r="C560" s="20">
        <v>81</v>
      </c>
      <c r="D560" s="21" t="s">
        <v>62</v>
      </c>
      <c r="E560" s="21" t="s">
        <v>30</v>
      </c>
      <c r="F560" s="20">
        <v>0.2</v>
      </c>
      <c r="G560" s="22">
        <f>C560*F560</f>
        <v>16.2</v>
      </c>
    </row>
    <row r="561" spans="1:7" ht="15" customHeight="1">
      <c r="A561" s="19" t="s">
        <v>120</v>
      </c>
      <c r="B561" s="20" t="s">
        <v>33</v>
      </c>
      <c r="C561" s="20">
        <v>80</v>
      </c>
      <c r="D561" s="21" t="s">
        <v>63</v>
      </c>
      <c r="E561" s="21" t="s">
        <v>35</v>
      </c>
      <c r="F561" s="20">
        <v>0.35</v>
      </c>
      <c r="G561" s="22">
        <f>C561*F561</f>
        <v>28</v>
      </c>
    </row>
    <row r="562" spans="1:7" ht="15" customHeight="1">
      <c r="A562" s="19" t="s">
        <v>120</v>
      </c>
      <c r="B562" s="20" t="s">
        <v>36</v>
      </c>
      <c r="C562" s="20">
        <v>80</v>
      </c>
      <c r="D562" s="21" t="s">
        <v>59</v>
      </c>
      <c r="E562" s="21" t="s">
        <v>38</v>
      </c>
      <c r="F562" s="20">
        <v>0.35</v>
      </c>
      <c r="G562" s="22">
        <f>C562*F562</f>
        <v>28</v>
      </c>
    </row>
    <row r="563" spans="1:7" ht="15" customHeight="1">
      <c r="A563" s="19" t="s">
        <v>121</v>
      </c>
      <c r="B563" s="20" t="s">
        <v>8</v>
      </c>
      <c r="C563" s="20">
        <v>66</v>
      </c>
      <c r="D563" s="21" t="s">
        <v>40</v>
      </c>
      <c r="E563" s="21" t="s">
        <v>10</v>
      </c>
      <c r="F563" s="20">
        <v>0.15</v>
      </c>
      <c r="G563" s="22">
        <f>C563*F563</f>
        <v>9.9</v>
      </c>
    </row>
    <row r="564" spans="1:7" ht="15" customHeight="1">
      <c r="A564" s="19" t="s">
        <v>121</v>
      </c>
      <c r="B564" s="20" t="s">
        <v>11</v>
      </c>
      <c r="C564" s="20">
        <v>68</v>
      </c>
      <c r="D564" s="21" t="s">
        <v>41</v>
      </c>
      <c r="E564" s="21" t="s">
        <v>13</v>
      </c>
      <c r="F564" s="20">
        <v>0.2</v>
      </c>
      <c r="G564" s="22">
        <f>C564*F564</f>
        <v>13.600000000000001</v>
      </c>
    </row>
    <row r="565" spans="1:7" ht="15" customHeight="1">
      <c r="A565" s="19" t="s">
        <v>121</v>
      </c>
      <c r="B565" s="20" t="s">
        <v>14</v>
      </c>
      <c r="C565" s="20">
        <v>69</v>
      </c>
      <c r="D565" s="21" t="s">
        <v>41</v>
      </c>
      <c r="E565" s="21" t="s">
        <v>13</v>
      </c>
      <c r="F565" s="20">
        <v>0.25</v>
      </c>
      <c r="G565" s="22">
        <f>C565*F565</f>
        <v>17.25</v>
      </c>
    </row>
    <row r="566" spans="1:7" ht="15" customHeight="1">
      <c r="A566" s="19" t="s">
        <v>121</v>
      </c>
      <c r="B566" s="20" t="s">
        <v>16</v>
      </c>
      <c r="C566" s="20">
        <v>69</v>
      </c>
      <c r="D566" s="21" t="s">
        <v>42</v>
      </c>
      <c r="E566" s="21" t="s">
        <v>18</v>
      </c>
      <c r="F566" s="20">
        <v>0.4</v>
      </c>
      <c r="G566" s="22">
        <f>C566*F566</f>
        <v>27.6</v>
      </c>
    </row>
    <row r="567" spans="1:7" ht="15" customHeight="1">
      <c r="A567" s="19" t="s">
        <v>121</v>
      </c>
      <c r="B567" s="20" t="s">
        <v>19</v>
      </c>
      <c r="C567" s="20">
        <v>71</v>
      </c>
      <c r="D567" s="21" t="s">
        <v>43</v>
      </c>
      <c r="E567" s="21" t="s">
        <v>21</v>
      </c>
      <c r="F567" s="20">
        <v>0.2</v>
      </c>
      <c r="G567" s="22">
        <f>C567*F567</f>
        <v>14.200000000000001</v>
      </c>
    </row>
    <row r="568" spans="1:7" ht="15" customHeight="1">
      <c r="A568" s="19" t="s">
        <v>121</v>
      </c>
      <c r="B568" s="20" t="s">
        <v>22</v>
      </c>
      <c r="C568" s="20">
        <v>70</v>
      </c>
      <c r="D568" s="21" t="s">
        <v>44</v>
      </c>
      <c r="E568" s="21" t="s">
        <v>24</v>
      </c>
      <c r="F568" s="20">
        <v>0.3</v>
      </c>
      <c r="G568" s="22">
        <f>C568*F568</f>
        <v>21</v>
      </c>
    </row>
    <row r="569" spans="1:7" ht="15" customHeight="1">
      <c r="A569" s="19" t="s">
        <v>121</v>
      </c>
      <c r="B569" s="20" t="s">
        <v>25</v>
      </c>
      <c r="C569" s="20">
        <v>69</v>
      </c>
      <c r="D569" s="21" t="s">
        <v>45</v>
      </c>
      <c r="E569" s="21" t="s">
        <v>27</v>
      </c>
      <c r="F569" s="20">
        <v>0.5</v>
      </c>
      <c r="G569" s="22">
        <f>C569*F569</f>
        <v>34.5</v>
      </c>
    </row>
    <row r="570" spans="1:7" ht="15" customHeight="1">
      <c r="A570" s="19" t="s">
        <v>121</v>
      </c>
      <c r="B570" s="20" t="s">
        <v>28</v>
      </c>
      <c r="C570" s="20">
        <v>70</v>
      </c>
      <c r="D570" s="21" t="s">
        <v>46</v>
      </c>
      <c r="E570" s="21" t="s">
        <v>30</v>
      </c>
      <c r="F570" s="20">
        <v>0.1</v>
      </c>
      <c r="G570" s="22">
        <f>C570*F570</f>
        <v>7</v>
      </c>
    </row>
    <row r="571" spans="1:7" ht="15" customHeight="1">
      <c r="A571" s="19" t="s">
        <v>121</v>
      </c>
      <c r="B571" s="20" t="s">
        <v>31</v>
      </c>
      <c r="C571" s="20">
        <v>71</v>
      </c>
      <c r="D571" s="21" t="s">
        <v>46</v>
      </c>
      <c r="E571" s="21" t="s">
        <v>30</v>
      </c>
      <c r="F571" s="20">
        <v>0.2</v>
      </c>
      <c r="G571" s="22">
        <f>C571*F571</f>
        <v>14.200000000000001</v>
      </c>
    </row>
    <row r="572" spans="1:7" ht="15" customHeight="1">
      <c r="A572" s="19" t="s">
        <v>121</v>
      </c>
      <c r="B572" s="20" t="s">
        <v>33</v>
      </c>
      <c r="C572" s="20">
        <v>70</v>
      </c>
      <c r="D572" s="21" t="s">
        <v>47</v>
      </c>
      <c r="E572" s="21" t="s">
        <v>35</v>
      </c>
      <c r="F572" s="20">
        <v>0.35</v>
      </c>
      <c r="G572" s="22">
        <f>C572*F572</f>
        <v>24.5</v>
      </c>
    </row>
    <row r="573" spans="1:7" ht="15" customHeight="1">
      <c r="A573" s="19" t="s">
        <v>121</v>
      </c>
      <c r="B573" s="20" t="s">
        <v>36</v>
      </c>
      <c r="C573" s="20">
        <v>72</v>
      </c>
      <c r="D573" s="21" t="s">
        <v>51</v>
      </c>
      <c r="E573" s="21" t="s">
        <v>38</v>
      </c>
      <c r="F573" s="20">
        <v>0.35</v>
      </c>
      <c r="G573" s="22">
        <f>C573*F573</f>
        <v>25.2</v>
      </c>
    </row>
    <row r="574" spans="1:7" ht="15" customHeight="1">
      <c r="A574" s="19" t="s">
        <v>122</v>
      </c>
      <c r="B574" s="20" t="s">
        <v>8</v>
      </c>
      <c r="C574" s="20">
        <v>80</v>
      </c>
      <c r="D574" s="21" t="s">
        <v>56</v>
      </c>
      <c r="E574" s="21" t="s">
        <v>10</v>
      </c>
      <c r="F574" s="20">
        <v>0.15</v>
      </c>
      <c r="G574" s="22">
        <f>C574*F574</f>
        <v>12</v>
      </c>
    </row>
    <row r="575" spans="1:7" ht="15" customHeight="1">
      <c r="A575" s="19" t="s">
        <v>122</v>
      </c>
      <c r="B575" s="20" t="s">
        <v>11</v>
      </c>
      <c r="C575" s="20">
        <v>78</v>
      </c>
      <c r="D575" s="21" t="s">
        <v>61</v>
      </c>
      <c r="E575" s="21" t="s">
        <v>13</v>
      </c>
      <c r="F575" s="20">
        <v>0.2</v>
      </c>
      <c r="G575" s="22">
        <f>C575*F575</f>
        <v>15.600000000000001</v>
      </c>
    </row>
    <row r="576" spans="1:7" ht="15" customHeight="1">
      <c r="A576" s="19" t="s">
        <v>122</v>
      </c>
      <c r="B576" s="20" t="s">
        <v>14</v>
      </c>
      <c r="C576" s="20">
        <v>81</v>
      </c>
      <c r="D576" s="21" t="s">
        <v>61</v>
      </c>
      <c r="E576" s="21" t="s">
        <v>13</v>
      </c>
      <c r="F576" s="20">
        <v>0.25</v>
      </c>
      <c r="G576" s="22">
        <f>C576*F576</f>
        <v>20.25</v>
      </c>
    </row>
    <row r="577" spans="1:7" ht="15" customHeight="1">
      <c r="A577" s="19" t="s">
        <v>122</v>
      </c>
      <c r="B577" s="20" t="s">
        <v>16</v>
      </c>
      <c r="C577" s="20">
        <v>83</v>
      </c>
      <c r="D577" s="21" t="s">
        <v>57</v>
      </c>
      <c r="E577" s="21" t="s">
        <v>18</v>
      </c>
      <c r="F577" s="20">
        <v>0.4</v>
      </c>
      <c r="G577" s="22">
        <f>C577*F577</f>
        <v>33.200000000000003</v>
      </c>
    </row>
    <row r="578" spans="1:7" ht="15" customHeight="1">
      <c r="A578" s="19" t="s">
        <v>122</v>
      </c>
      <c r="B578" s="20" t="s">
        <v>19</v>
      </c>
      <c r="C578" s="20">
        <v>78</v>
      </c>
      <c r="D578" s="21" t="s">
        <v>66</v>
      </c>
      <c r="E578" s="21" t="s">
        <v>21</v>
      </c>
      <c r="F578" s="20">
        <v>0.2</v>
      </c>
      <c r="G578" s="22">
        <f>C578*F578</f>
        <v>15.600000000000001</v>
      </c>
    </row>
    <row r="579" spans="1:7" ht="15" customHeight="1">
      <c r="A579" s="19" t="s">
        <v>122</v>
      </c>
      <c r="B579" s="20" t="s">
        <v>22</v>
      </c>
      <c r="C579" s="20">
        <v>81</v>
      </c>
      <c r="D579" s="21" t="s">
        <v>58</v>
      </c>
      <c r="E579" s="21" t="s">
        <v>24</v>
      </c>
      <c r="F579" s="20">
        <v>0.3</v>
      </c>
      <c r="G579" s="22">
        <f>C579*F579</f>
        <v>24.3</v>
      </c>
    </row>
    <row r="580" spans="1:7" ht="15" customHeight="1">
      <c r="A580" s="19" t="s">
        <v>122</v>
      </c>
      <c r="B580" s="20" t="s">
        <v>25</v>
      </c>
      <c r="C580" s="20">
        <v>78</v>
      </c>
      <c r="D580" s="21" t="s">
        <v>67</v>
      </c>
      <c r="E580" s="21" t="s">
        <v>27</v>
      </c>
      <c r="F580" s="20">
        <v>0.5</v>
      </c>
      <c r="G580" s="22">
        <f>C580*F580</f>
        <v>39</v>
      </c>
    </row>
    <row r="581" spans="1:7" ht="15" customHeight="1">
      <c r="A581" s="19" t="s">
        <v>122</v>
      </c>
      <c r="B581" s="20" t="s">
        <v>28</v>
      </c>
      <c r="C581" s="20">
        <v>78</v>
      </c>
      <c r="D581" s="21" t="s">
        <v>62</v>
      </c>
      <c r="E581" s="21" t="s">
        <v>30</v>
      </c>
      <c r="F581" s="20">
        <v>0.1</v>
      </c>
      <c r="G581" s="22">
        <f>C581*F581</f>
        <v>7.8000000000000007</v>
      </c>
    </row>
    <row r="582" spans="1:7" ht="15" customHeight="1">
      <c r="A582" s="19" t="s">
        <v>122</v>
      </c>
      <c r="B582" s="20" t="s">
        <v>31</v>
      </c>
      <c r="C582" s="20">
        <v>78</v>
      </c>
      <c r="D582" s="21" t="s">
        <v>62</v>
      </c>
      <c r="E582" s="21" t="s">
        <v>30</v>
      </c>
      <c r="F582" s="20">
        <v>0.2</v>
      </c>
      <c r="G582" s="22">
        <f>C582*F582</f>
        <v>15.600000000000001</v>
      </c>
    </row>
    <row r="583" spans="1:7" ht="15" customHeight="1">
      <c r="A583" s="19" t="s">
        <v>122</v>
      </c>
      <c r="B583" s="20" t="s">
        <v>33</v>
      </c>
      <c r="C583" s="20">
        <v>77</v>
      </c>
      <c r="D583" s="21" t="s">
        <v>63</v>
      </c>
      <c r="E583" s="21" t="s">
        <v>35</v>
      </c>
      <c r="F583" s="20">
        <v>0.35</v>
      </c>
      <c r="G583" s="22">
        <f>C583*F583</f>
        <v>26.95</v>
      </c>
    </row>
    <row r="584" spans="1:7" ht="15" customHeight="1">
      <c r="A584" s="19" t="s">
        <v>122</v>
      </c>
      <c r="B584" s="20" t="s">
        <v>36</v>
      </c>
      <c r="C584" s="20">
        <v>78</v>
      </c>
      <c r="D584" s="21" t="s">
        <v>59</v>
      </c>
      <c r="E584" s="21" t="s">
        <v>38</v>
      </c>
      <c r="F584" s="20">
        <v>0.35</v>
      </c>
      <c r="G584" s="22">
        <f>C584*F584</f>
        <v>27.299999999999997</v>
      </c>
    </row>
    <row r="585" spans="1:7" ht="15" customHeight="1">
      <c r="A585" s="19" t="s">
        <v>123</v>
      </c>
      <c r="B585" s="20" t="s">
        <v>8</v>
      </c>
      <c r="C585" s="20">
        <v>50</v>
      </c>
      <c r="D585" s="21" t="s">
        <v>9</v>
      </c>
      <c r="E585" s="21" t="s">
        <v>10</v>
      </c>
      <c r="F585" s="20">
        <v>0.15</v>
      </c>
      <c r="G585" s="22">
        <f>C585*F585</f>
        <v>7.5</v>
      </c>
    </row>
    <row r="586" spans="1:7" ht="15" customHeight="1">
      <c r="A586" s="19" t="s">
        <v>123</v>
      </c>
      <c r="B586" s="20" t="s">
        <v>11</v>
      </c>
      <c r="C586" s="20">
        <v>44</v>
      </c>
      <c r="D586" s="21" t="s">
        <v>12</v>
      </c>
      <c r="E586" s="21" t="s">
        <v>13</v>
      </c>
      <c r="F586" s="20">
        <v>0.2</v>
      </c>
      <c r="G586" s="22">
        <f>C586*F586</f>
        <v>8.8000000000000007</v>
      </c>
    </row>
    <row r="587" spans="1:7" ht="15" customHeight="1">
      <c r="A587" s="19" t="s">
        <v>123</v>
      </c>
      <c r="B587" s="20" t="s">
        <v>14</v>
      </c>
      <c r="C587" s="20">
        <v>49</v>
      </c>
      <c r="D587" s="21" t="s">
        <v>12</v>
      </c>
      <c r="E587" s="21" t="s">
        <v>13</v>
      </c>
      <c r="F587" s="20">
        <v>0.25</v>
      </c>
      <c r="G587" s="22">
        <f>C587*F587</f>
        <v>12.25</v>
      </c>
    </row>
    <row r="588" spans="1:7" ht="15" customHeight="1">
      <c r="A588" s="19" t="s">
        <v>123</v>
      </c>
      <c r="B588" s="20" t="s">
        <v>16</v>
      </c>
      <c r="C588" s="20">
        <v>48</v>
      </c>
      <c r="D588" s="21" t="s">
        <v>124</v>
      </c>
      <c r="E588" s="21" t="s">
        <v>18</v>
      </c>
      <c r="F588" s="20">
        <v>0.4</v>
      </c>
      <c r="G588" s="22">
        <f>C588*F588</f>
        <v>19.200000000000003</v>
      </c>
    </row>
    <row r="589" spans="1:7" ht="15" customHeight="1">
      <c r="A589" s="19" t="s">
        <v>123</v>
      </c>
      <c r="B589" s="20" t="s">
        <v>19</v>
      </c>
      <c r="C589" s="20">
        <v>48</v>
      </c>
      <c r="D589" s="21" t="s">
        <v>53</v>
      </c>
      <c r="E589" s="21" t="s">
        <v>21</v>
      </c>
      <c r="F589" s="20">
        <v>0.2</v>
      </c>
      <c r="G589" s="22">
        <f>C589*F589</f>
        <v>9.6000000000000014</v>
      </c>
    </row>
    <row r="590" spans="1:7" ht="15" customHeight="1">
      <c r="A590" s="19" t="s">
        <v>123</v>
      </c>
      <c r="B590" s="20" t="s">
        <v>22</v>
      </c>
      <c r="C590" s="20">
        <v>42</v>
      </c>
      <c r="D590" s="21" t="s">
        <v>54</v>
      </c>
      <c r="E590" s="21" t="s">
        <v>24</v>
      </c>
      <c r="F590" s="20">
        <v>0.3</v>
      </c>
      <c r="G590" s="22">
        <f>C590*F590</f>
        <v>12.6</v>
      </c>
    </row>
    <row r="591" spans="1:7" ht="15" customHeight="1">
      <c r="A591" s="19" t="s">
        <v>123</v>
      </c>
      <c r="B591" s="20" t="s">
        <v>25</v>
      </c>
      <c r="C591" s="20">
        <v>42</v>
      </c>
      <c r="D591" s="21" t="s">
        <v>26</v>
      </c>
      <c r="E591" s="21" t="s">
        <v>27</v>
      </c>
      <c r="F591" s="20">
        <v>0.5</v>
      </c>
      <c r="G591" s="22">
        <f>C591*F591</f>
        <v>21</v>
      </c>
    </row>
    <row r="592" spans="1:7" ht="15" customHeight="1">
      <c r="A592" s="19" t="s">
        <v>123</v>
      </c>
      <c r="B592" s="20" t="s">
        <v>28</v>
      </c>
      <c r="C592" s="20">
        <v>46</v>
      </c>
      <c r="D592" s="21" t="s">
        <v>32</v>
      </c>
      <c r="E592" s="21" t="s">
        <v>30</v>
      </c>
      <c r="F592" s="20">
        <v>0.1</v>
      </c>
      <c r="G592" s="22">
        <f>C592*F592</f>
        <v>4.6000000000000005</v>
      </c>
    </row>
    <row r="593" spans="1:7" ht="15" customHeight="1">
      <c r="A593" s="19" t="s">
        <v>123</v>
      </c>
      <c r="B593" s="20" t="s">
        <v>31</v>
      </c>
      <c r="C593" s="20">
        <v>49</v>
      </c>
      <c r="D593" s="21" t="s">
        <v>32</v>
      </c>
      <c r="E593" s="21" t="s">
        <v>30</v>
      </c>
      <c r="F593" s="20">
        <v>0.2</v>
      </c>
      <c r="G593" s="22">
        <f>C593*F593</f>
        <v>9.8000000000000007</v>
      </c>
    </row>
    <row r="594" spans="1:7" ht="15" customHeight="1">
      <c r="A594" s="19" t="s">
        <v>123</v>
      </c>
      <c r="B594" s="20" t="s">
        <v>33</v>
      </c>
      <c r="C594" s="20">
        <v>43</v>
      </c>
      <c r="D594" s="21" t="s">
        <v>118</v>
      </c>
      <c r="E594" s="21" t="s">
        <v>35</v>
      </c>
      <c r="F594" s="20">
        <v>0.35</v>
      </c>
      <c r="G594" s="22">
        <f>C594*F594</f>
        <v>15.049999999999999</v>
      </c>
    </row>
    <row r="595" spans="1:7" ht="15" customHeight="1">
      <c r="A595" s="19" t="s">
        <v>123</v>
      </c>
      <c r="B595" s="20" t="s">
        <v>36</v>
      </c>
      <c r="C595" s="20">
        <v>44</v>
      </c>
      <c r="D595" s="21" t="s">
        <v>37</v>
      </c>
      <c r="E595" s="21" t="s">
        <v>38</v>
      </c>
      <c r="F595" s="20">
        <v>0.35</v>
      </c>
      <c r="G595" s="22">
        <f>C595*F595</f>
        <v>15.399999999999999</v>
      </c>
    </row>
    <row r="596" spans="1:7" ht="15" customHeight="1">
      <c r="A596" s="19" t="s">
        <v>125</v>
      </c>
      <c r="B596" s="20" t="s">
        <v>8</v>
      </c>
      <c r="C596" s="20">
        <v>73</v>
      </c>
      <c r="D596" s="21" t="s">
        <v>40</v>
      </c>
      <c r="E596" s="21" t="s">
        <v>10</v>
      </c>
      <c r="F596" s="20">
        <v>0.15</v>
      </c>
      <c r="G596" s="22">
        <f>C596*F596</f>
        <v>10.95</v>
      </c>
    </row>
    <row r="597" spans="1:7" ht="15" customHeight="1">
      <c r="A597" s="19" t="s">
        <v>125</v>
      </c>
      <c r="B597" s="20" t="s">
        <v>11</v>
      </c>
      <c r="C597" s="20">
        <v>73</v>
      </c>
      <c r="D597" s="21" t="s">
        <v>41</v>
      </c>
      <c r="E597" s="21" t="s">
        <v>13</v>
      </c>
      <c r="F597" s="20">
        <v>0.2</v>
      </c>
      <c r="G597" s="22">
        <f>C597*F597</f>
        <v>14.600000000000001</v>
      </c>
    </row>
    <row r="598" spans="1:7" ht="15" customHeight="1">
      <c r="A598" s="19" t="s">
        <v>125</v>
      </c>
      <c r="B598" s="20" t="s">
        <v>14</v>
      </c>
      <c r="C598" s="20">
        <v>74</v>
      </c>
      <c r="D598" s="21" t="s">
        <v>41</v>
      </c>
      <c r="E598" s="21" t="s">
        <v>13</v>
      </c>
      <c r="F598" s="20">
        <v>0.25</v>
      </c>
      <c r="G598" s="22">
        <f>C598*F598</f>
        <v>18.5</v>
      </c>
    </row>
    <row r="599" spans="1:7" ht="15" customHeight="1">
      <c r="A599" s="19" t="s">
        <v>125</v>
      </c>
      <c r="B599" s="20" t="s">
        <v>16</v>
      </c>
      <c r="C599" s="20">
        <v>72</v>
      </c>
      <c r="D599" s="21" t="s">
        <v>42</v>
      </c>
      <c r="E599" s="21" t="s">
        <v>18</v>
      </c>
      <c r="F599" s="20">
        <v>0.4</v>
      </c>
      <c r="G599" s="22">
        <f>C599*F599</f>
        <v>28.8</v>
      </c>
    </row>
    <row r="600" spans="1:7" ht="15" customHeight="1">
      <c r="A600" s="19" t="s">
        <v>125</v>
      </c>
      <c r="B600" s="20" t="s">
        <v>19</v>
      </c>
      <c r="C600" s="20">
        <v>77</v>
      </c>
      <c r="D600" s="21" t="s">
        <v>66</v>
      </c>
      <c r="E600" s="21" t="s">
        <v>21</v>
      </c>
      <c r="F600" s="20">
        <v>0.2</v>
      </c>
      <c r="G600" s="22">
        <f>C600*F600</f>
        <v>15.4</v>
      </c>
    </row>
    <row r="601" spans="1:7" ht="15" customHeight="1">
      <c r="A601" s="19" t="s">
        <v>125</v>
      </c>
      <c r="B601" s="20" t="s">
        <v>22</v>
      </c>
      <c r="C601" s="20">
        <v>73</v>
      </c>
      <c r="D601" s="21" t="s">
        <v>44</v>
      </c>
      <c r="E601" s="21" t="s">
        <v>24</v>
      </c>
      <c r="F601" s="20">
        <v>0.3</v>
      </c>
      <c r="G601" s="22">
        <f>C601*F601</f>
        <v>21.9</v>
      </c>
    </row>
    <row r="602" spans="1:7" ht="15" customHeight="1">
      <c r="A602" s="19" t="s">
        <v>125</v>
      </c>
      <c r="B602" s="20" t="s">
        <v>25</v>
      </c>
      <c r="C602" s="20">
        <v>71</v>
      </c>
      <c r="D602" s="21" t="s">
        <v>45</v>
      </c>
      <c r="E602" s="21" t="s">
        <v>27</v>
      </c>
      <c r="F602" s="20">
        <v>0.5</v>
      </c>
      <c r="G602" s="22">
        <f>C602*F602</f>
        <v>35.5</v>
      </c>
    </row>
    <row r="603" spans="1:7" ht="15" customHeight="1">
      <c r="A603" s="19" t="s">
        <v>125</v>
      </c>
      <c r="B603" s="20" t="s">
        <v>28</v>
      </c>
      <c r="C603" s="20">
        <v>73</v>
      </c>
      <c r="D603" s="21" t="s">
        <v>46</v>
      </c>
      <c r="E603" s="21" t="s">
        <v>30</v>
      </c>
      <c r="F603" s="20">
        <v>0.1</v>
      </c>
      <c r="G603" s="22">
        <f>C603*F603</f>
        <v>7.3000000000000007</v>
      </c>
    </row>
    <row r="604" spans="1:7" ht="15" customHeight="1">
      <c r="A604" s="19" t="s">
        <v>125</v>
      </c>
      <c r="B604" s="20" t="s">
        <v>31</v>
      </c>
      <c r="C604" s="20">
        <v>72</v>
      </c>
      <c r="D604" s="21" t="s">
        <v>46</v>
      </c>
      <c r="E604" s="21" t="s">
        <v>30</v>
      </c>
      <c r="F604" s="20">
        <v>0.2</v>
      </c>
      <c r="G604" s="22">
        <f>C604*F604</f>
        <v>14.4</v>
      </c>
    </row>
    <row r="605" spans="1:7" ht="15" customHeight="1">
      <c r="A605" s="19" t="s">
        <v>125</v>
      </c>
      <c r="B605" s="20" t="s">
        <v>33</v>
      </c>
      <c r="C605" s="20">
        <v>78</v>
      </c>
      <c r="D605" s="21" t="s">
        <v>63</v>
      </c>
      <c r="E605" s="21" t="s">
        <v>35</v>
      </c>
      <c r="F605" s="20">
        <v>0.35</v>
      </c>
      <c r="G605" s="22">
        <f>C605*F605</f>
        <v>27.299999999999997</v>
      </c>
    </row>
    <row r="606" spans="1:7" ht="15" customHeight="1">
      <c r="A606" s="19" t="s">
        <v>125</v>
      </c>
      <c r="B606" s="20" t="s">
        <v>36</v>
      </c>
      <c r="C606" s="20">
        <v>74</v>
      </c>
      <c r="D606" s="21" t="s">
        <v>51</v>
      </c>
      <c r="E606" s="21" t="s">
        <v>38</v>
      </c>
      <c r="F606" s="20">
        <v>0.35</v>
      </c>
      <c r="G606" s="22">
        <f>C606*F606</f>
        <v>25.9</v>
      </c>
    </row>
    <row r="607" spans="1:7" ht="15" customHeight="1">
      <c r="A607" s="19" t="s">
        <v>126</v>
      </c>
      <c r="B607" s="20" t="s">
        <v>8</v>
      </c>
      <c r="C607" s="20">
        <v>76</v>
      </c>
      <c r="D607" s="21" t="s">
        <v>56</v>
      </c>
      <c r="E607" s="21" t="s">
        <v>10</v>
      </c>
      <c r="F607" s="20">
        <v>0.15</v>
      </c>
      <c r="G607" s="22">
        <f>C607*F607</f>
        <v>11.4</v>
      </c>
    </row>
    <row r="608" spans="1:7" ht="15" customHeight="1">
      <c r="A608" s="19" t="s">
        <v>126</v>
      </c>
      <c r="B608" s="20" t="s">
        <v>11</v>
      </c>
      <c r="C608" s="20">
        <v>82</v>
      </c>
      <c r="D608" s="21" t="s">
        <v>61</v>
      </c>
      <c r="E608" s="21" t="s">
        <v>13</v>
      </c>
      <c r="F608" s="20">
        <v>0.2</v>
      </c>
      <c r="G608" s="22">
        <f>C608*F608</f>
        <v>16.400000000000002</v>
      </c>
    </row>
    <row r="609" spans="1:7" ht="15" customHeight="1">
      <c r="A609" s="19" t="s">
        <v>126</v>
      </c>
      <c r="B609" s="20" t="s">
        <v>14</v>
      </c>
      <c r="C609" s="20">
        <v>77</v>
      </c>
      <c r="D609" s="21" t="s">
        <v>61</v>
      </c>
      <c r="E609" s="21" t="s">
        <v>13</v>
      </c>
      <c r="F609" s="20">
        <v>0.25</v>
      </c>
      <c r="G609" s="22">
        <f>C609*F609</f>
        <v>19.25</v>
      </c>
    </row>
    <row r="610" spans="1:7" ht="15" customHeight="1">
      <c r="A610" s="19" t="s">
        <v>126</v>
      </c>
      <c r="B610" s="20" t="s">
        <v>16</v>
      </c>
      <c r="C610" s="20">
        <v>78</v>
      </c>
      <c r="D610" s="21" t="s">
        <v>57</v>
      </c>
      <c r="E610" s="21" t="s">
        <v>18</v>
      </c>
      <c r="F610" s="20">
        <v>0.4</v>
      </c>
      <c r="G610" s="22">
        <f>C610*F610</f>
        <v>31.200000000000003</v>
      </c>
    </row>
    <row r="611" spans="1:7" ht="15" customHeight="1">
      <c r="A611" s="19" t="s">
        <v>126</v>
      </c>
      <c r="B611" s="20" t="s">
        <v>19</v>
      </c>
      <c r="C611" s="20">
        <v>84</v>
      </c>
      <c r="D611" s="21" t="s">
        <v>66</v>
      </c>
      <c r="E611" s="21" t="s">
        <v>21</v>
      </c>
      <c r="F611" s="20">
        <v>0.2</v>
      </c>
      <c r="G611" s="22">
        <f>C611*F611</f>
        <v>16.8</v>
      </c>
    </row>
    <row r="612" spans="1:7" ht="15" customHeight="1">
      <c r="A612" s="19" t="s">
        <v>126</v>
      </c>
      <c r="B612" s="20" t="s">
        <v>22</v>
      </c>
      <c r="C612" s="20">
        <v>83</v>
      </c>
      <c r="D612" s="21" t="s">
        <v>58</v>
      </c>
      <c r="E612" s="21" t="s">
        <v>24</v>
      </c>
      <c r="F612" s="20">
        <v>0.3</v>
      </c>
      <c r="G612" s="22">
        <f>C612*F612</f>
        <v>24.9</v>
      </c>
    </row>
    <row r="613" spans="1:7" ht="15" customHeight="1">
      <c r="A613" s="19" t="s">
        <v>126</v>
      </c>
      <c r="B613" s="20" t="s">
        <v>25</v>
      </c>
      <c r="C613" s="20">
        <v>81</v>
      </c>
      <c r="D613" s="21" t="s">
        <v>67</v>
      </c>
      <c r="E613" s="21" t="s">
        <v>27</v>
      </c>
      <c r="F613" s="20">
        <v>0.5</v>
      </c>
      <c r="G613" s="22">
        <f>C613*F613</f>
        <v>40.5</v>
      </c>
    </row>
    <row r="614" spans="1:7" ht="15" customHeight="1">
      <c r="A614" s="19" t="s">
        <v>126</v>
      </c>
      <c r="B614" s="20" t="s">
        <v>28</v>
      </c>
      <c r="C614" s="20">
        <v>80</v>
      </c>
      <c r="D614" s="21" t="s">
        <v>62</v>
      </c>
      <c r="E614" s="21" t="s">
        <v>30</v>
      </c>
      <c r="F614" s="20">
        <v>0.1</v>
      </c>
      <c r="G614" s="22">
        <f>C614*F614</f>
        <v>8</v>
      </c>
    </row>
    <row r="615" spans="1:7" ht="15" customHeight="1">
      <c r="A615" s="19" t="s">
        <v>126</v>
      </c>
      <c r="B615" s="20" t="s">
        <v>31</v>
      </c>
      <c r="C615" s="20">
        <v>83</v>
      </c>
      <c r="D615" s="21" t="s">
        <v>62</v>
      </c>
      <c r="E615" s="21" t="s">
        <v>30</v>
      </c>
      <c r="F615" s="20">
        <v>0.2</v>
      </c>
      <c r="G615" s="22">
        <f>C615*F615</f>
        <v>16.600000000000001</v>
      </c>
    </row>
    <row r="616" spans="1:7" ht="15" customHeight="1">
      <c r="A616" s="19" t="s">
        <v>126</v>
      </c>
      <c r="B616" s="20" t="s">
        <v>33</v>
      </c>
      <c r="C616" s="20">
        <v>81</v>
      </c>
      <c r="D616" s="21" t="s">
        <v>63</v>
      </c>
      <c r="E616" s="21" t="s">
        <v>35</v>
      </c>
      <c r="F616" s="20">
        <v>0.35</v>
      </c>
      <c r="G616" s="22">
        <f>C616*F616</f>
        <v>28.349999999999998</v>
      </c>
    </row>
    <row r="617" spans="1:7" ht="15" customHeight="1">
      <c r="A617" s="19" t="s">
        <v>126</v>
      </c>
      <c r="B617" s="20" t="s">
        <v>36</v>
      </c>
      <c r="C617" s="20">
        <v>82</v>
      </c>
      <c r="D617" s="21" t="s">
        <v>59</v>
      </c>
      <c r="E617" s="21" t="s">
        <v>38</v>
      </c>
      <c r="F617" s="20">
        <v>0.35</v>
      </c>
      <c r="G617" s="22">
        <f>C617*F617</f>
        <v>28.7</v>
      </c>
    </row>
    <row r="618" spans="1:7" ht="15" customHeight="1">
      <c r="A618" s="19" t="s">
        <v>127</v>
      </c>
      <c r="B618" s="20" t="s">
        <v>8</v>
      </c>
      <c r="C618" s="20">
        <v>75</v>
      </c>
      <c r="D618" s="21" t="s">
        <v>56</v>
      </c>
      <c r="E618" s="21" t="s">
        <v>10</v>
      </c>
      <c r="F618" s="20">
        <v>0.15</v>
      </c>
      <c r="G618" s="22">
        <f>C618*F618</f>
        <v>11.25</v>
      </c>
    </row>
    <row r="619" spans="1:7" ht="15" customHeight="1">
      <c r="A619" s="19" t="s">
        <v>127</v>
      </c>
      <c r="B619" s="20" t="s">
        <v>11</v>
      </c>
      <c r="C619" s="20">
        <v>78</v>
      </c>
      <c r="D619" s="21" t="s">
        <v>61</v>
      </c>
      <c r="E619" s="21" t="s">
        <v>13</v>
      </c>
      <c r="F619" s="20">
        <v>0.2</v>
      </c>
      <c r="G619" s="22">
        <f>C619*F619</f>
        <v>15.600000000000001</v>
      </c>
    </row>
    <row r="620" spans="1:7" ht="15" customHeight="1">
      <c r="A620" s="19" t="s">
        <v>127</v>
      </c>
      <c r="B620" s="20" t="s">
        <v>14</v>
      </c>
      <c r="C620" s="20">
        <v>75</v>
      </c>
      <c r="D620" s="21" t="s">
        <v>61</v>
      </c>
      <c r="E620" s="21" t="s">
        <v>13</v>
      </c>
      <c r="F620" s="20">
        <v>0.25</v>
      </c>
      <c r="G620" s="22">
        <f>C620*F620</f>
        <v>18.75</v>
      </c>
    </row>
    <row r="621" spans="1:7" ht="15" customHeight="1">
      <c r="A621" s="19" t="s">
        <v>127</v>
      </c>
      <c r="B621" s="20" t="s">
        <v>16</v>
      </c>
      <c r="C621" s="20">
        <v>73</v>
      </c>
      <c r="D621" s="21" t="s">
        <v>42</v>
      </c>
      <c r="E621" s="21" t="s">
        <v>18</v>
      </c>
      <c r="F621" s="20">
        <v>0.4</v>
      </c>
      <c r="G621" s="22">
        <f>C621*F621</f>
        <v>29.200000000000003</v>
      </c>
    </row>
    <row r="622" spans="1:7" ht="15" customHeight="1">
      <c r="A622" s="19" t="s">
        <v>127</v>
      </c>
      <c r="B622" s="20" t="s">
        <v>19</v>
      </c>
      <c r="C622" s="20">
        <v>72</v>
      </c>
      <c r="D622" s="21" t="s">
        <v>43</v>
      </c>
      <c r="E622" s="21" t="s">
        <v>21</v>
      </c>
      <c r="F622" s="20">
        <v>0.2</v>
      </c>
      <c r="G622" s="22">
        <f>C622*F622</f>
        <v>14.4</v>
      </c>
    </row>
    <row r="623" spans="1:7" ht="15" customHeight="1">
      <c r="A623" s="19" t="s">
        <v>127</v>
      </c>
      <c r="B623" s="20" t="s">
        <v>22</v>
      </c>
      <c r="C623" s="20">
        <v>71</v>
      </c>
      <c r="D623" s="21" t="s">
        <v>44</v>
      </c>
      <c r="E623" s="21" t="s">
        <v>24</v>
      </c>
      <c r="F623" s="20">
        <v>0.3</v>
      </c>
      <c r="G623" s="22">
        <f>C623*F623</f>
        <v>21.3</v>
      </c>
    </row>
    <row r="624" spans="1:7" ht="15" customHeight="1">
      <c r="A624" s="19" t="s">
        <v>127</v>
      </c>
      <c r="B624" s="20" t="s">
        <v>25</v>
      </c>
      <c r="C624" s="20">
        <v>76</v>
      </c>
      <c r="D624" s="21" t="s">
        <v>67</v>
      </c>
      <c r="E624" s="21" t="s">
        <v>27</v>
      </c>
      <c r="F624" s="20">
        <v>0.5</v>
      </c>
      <c r="G624" s="22">
        <f>C624*F624</f>
        <v>38</v>
      </c>
    </row>
    <row r="625" spans="1:7" ht="15" customHeight="1">
      <c r="A625" s="19" t="s">
        <v>127</v>
      </c>
      <c r="B625" s="20" t="s">
        <v>28</v>
      </c>
      <c r="C625" s="20">
        <v>73</v>
      </c>
      <c r="D625" s="21" t="s">
        <v>46</v>
      </c>
      <c r="E625" s="21" t="s">
        <v>30</v>
      </c>
      <c r="F625" s="20">
        <v>0.1</v>
      </c>
      <c r="G625" s="22">
        <f>C625*F625</f>
        <v>7.3000000000000007</v>
      </c>
    </row>
    <row r="626" spans="1:7" ht="15" customHeight="1">
      <c r="A626" s="19" t="s">
        <v>127</v>
      </c>
      <c r="B626" s="20" t="s">
        <v>31</v>
      </c>
      <c r="C626" s="20">
        <v>72</v>
      </c>
      <c r="D626" s="21" t="s">
        <v>46</v>
      </c>
      <c r="E626" s="21" t="s">
        <v>30</v>
      </c>
      <c r="F626" s="20">
        <v>0.2</v>
      </c>
      <c r="G626" s="22">
        <f>C626*F626</f>
        <v>14.4</v>
      </c>
    </row>
    <row r="627" spans="1:7" ht="15" customHeight="1">
      <c r="A627" s="19" t="s">
        <v>127</v>
      </c>
      <c r="B627" s="20" t="s">
        <v>33</v>
      </c>
      <c r="C627" s="20">
        <v>72</v>
      </c>
      <c r="D627" s="21" t="s">
        <v>47</v>
      </c>
      <c r="E627" s="21" t="s">
        <v>35</v>
      </c>
      <c r="F627" s="20">
        <v>0.35</v>
      </c>
      <c r="G627" s="22">
        <f>C627*F627</f>
        <v>25.2</v>
      </c>
    </row>
    <row r="628" spans="1:7" ht="15" customHeight="1">
      <c r="A628" s="19" t="s">
        <v>127</v>
      </c>
      <c r="B628" s="20" t="s">
        <v>36</v>
      </c>
      <c r="C628" s="20">
        <v>73</v>
      </c>
      <c r="D628" s="21" t="s">
        <v>51</v>
      </c>
      <c r="E628" s="21" t="s">
        <v>38</v>
      </c>
      <c r="F628" s="20">
        <v>0.35</v>
      </c>
      <c r="G628" s="22">
        <f>C628*F628</f>
        <v>25.549999999999997</v>
      </c>
    </row>
    <row r="629" spans="1:7" ht="15" customHeight="1">
      <c r="A629" s="19" t="s">
        <v>128</v>
      </c>
      <c r="B629" s="20" t="s">
        <v>8</v>
      </c>
      <c r="C629" s="20">
        <v>88</v>
      </c>
      <c r="D629" s="21" t="s">
        <v>74</v>
      </c>
      <c r="E629" s="21" t="s">
        <v>10</v>
      </c>
      <c r="F629" s="20">
        <v>0.15</v>
      </c>
      <c r="G629" s="22">
        <f>C629*F629</f>
        <v>13.2</v>
      </c>
    </row>
    <row r="630" spans="1:7" ht="15" customHeight="1">
      <c r="A630" s="19" t="s">
        <v>128</v>
      </c>
      <c r="B630" s="20" t="s">
        <v>11</v>
      </c>
      <c r="C630" s="20">
        <v>87</v>
      </c>
      <c r="D630" s="21" t="s">
        <v>75</v>
      </c>
      <c r="E630" s="21" t="s">
        <v>13</v>
      </c>
      <c r="F630" s="20">
        <v>0.2</v>
      </c>
      <c r="G630" s="22">
        <f>C630*F630</f>
        <v>17.400000000000002</v>
      </c>
    </row>
    <row r="631" spans="1:7" ht="15" customHeight="1">
      <c r="A631" s="19" t="s">
        <v>128</v>
      </c>
      <c r="B631" s="20" t="s">
        <v>14</v>
      </c>
      <c r="C631" s="20">
        <v>86</v>
      </c>
      <c r="D631" s="21" t="s">
        <v>75</v>
      </c>
      <c r="E631" s="21" t="s">
        <v>13</v>
      </c>
      <c r="F631" s="20">
        <v>0.25</v>
      </c>
      <c r="G631" s="22">
        <f>C631*F631</f>
        <v>21.5</v>
      </c>
    </row>
    <row r="632" spans="1:7" ht="15" customHeight="1">
      <c r="A632" s="19" t="s">
        <v>128</v>
      </c>
      <c r="B632" s="20" t="s">
        <v>16</v>
      </c>
      <c r="C632" s="20">
        <v>82</v>
      </c>
      <c r="D632" s="21" t="s">
        <v>57</v>
      </c>
      <c r="E632" s="21" t="s">
        <v>18</v>
      </c>
      <c r="F632" s="20">
        <v>0.4</v>
      </c>
      <c r="G632" s="22">
        <f>C632*F632</f>
        <v>32.800000000000004</v>
      </c>
    </row>
    <row r="633" spans="1:7" ht="15" customHeight="1">
      <c r="A633" s="19" t="s">
        <v>128</v>
      </c>
      <c r="B633" s="20" t="s">
        <v>19</v>
      </c>
      <c r="C633" s="20">
        <v>77</v>
      </c>
      <c r="D633" s="21" t="s">
        <v>66</v>
      </c>
      <c r="E633" s="21" t="s">
        <v>21</v>
      </c>
      <c r="F633" s="20">
        <v>0.2</v>
      </c>
      <c r="G633" s="22">
        <f>C633*F633</f>
        <v>15.4</v>
      </c>
    </row>
    <row r="634" spans="1:7" ht="15" customHeight="1">
      <c r="A634" s="19" t="s">
        <v>128</v>
      </c>
      <c r="B634" s="20" t="s">
        <v>22</v>
      </c>
      <c r="C634" s="20">
        <v>80</v>
      </c>
      <c r="D634" s="21" t="s">
        <v>58</v>
      </c>
      <c r="E634" s="21" t="s">
        <v>24</v>
      </c>
      <c r="F634" s="20">
        <v>0.3</v>
      </c>
      <c r="G634" s="22">
        <f>C634*F634</f>
        <v>24</v>
      </c>
    </row>
    <row r="635" spans="1:7" ht="15" customHeight="1">
      <c r="A635" s="19" t="s">
        <v>128</v>
      </c>
      <c r="B635" s="20" t="s">
        <v>25</v>
      </c>
      <c r="C635" s="20">
        <v>79</v>
      </c>
      <c r="D635" s="21" t="s">
        <v>67</v>
      </c>
      <c r="E635" s="21" t="s">
        <v>27</v>
      </c>
      <c r="F635" s="20">
        <v>0.5</v>
      </c>
      <c r="G635" s="22">
        <f>C635*F635</f>
        <v>39.5</v>
      </c>
    </row>
    <row r="636" spans="1:7" ht="15" customHeight="1">
      <c r="A636" s="19" t="s">
        <v>128</v>
      </c>
      <c r="B636" s="20" t="s">
        <v>28</v>
      </c>
      <c r="C636" s="20">
        <v>80</v>
      </c>
      <c r="D636" s="21" t="s">
        <v>62</v>
      </c>
      <c r="E636" s="21" t="s">
        <v>30</v>
      </c>
      <c r="F636" s="20">
        <v>0.1</v>
      </c>
      <c r="G636" s="22">
        <f>C636*F636</f>
        <v>8</v>
      </c>
    </row>
    <row r="637" spans="1:7" ht="15" customHeight="1">
      <c r="A637" s="19" t="s">
        <v>128</v>
      </c>
      <c r="B637" s="20" t="s">
        <v>31</v>
      </c>
      <c r="C637" s="20">
        <v>80</v>
      </c>
      <c r="D637" s="21" t="s">
        <v>62</v>
      </c>
      <c r="E637" s="21" t="s">
        <v>30</v>
      </c>
      <c r="F637" s="20">
        <v>0.2</v>
      </c>
      <c r="G637" s="22">
        <f>C637*F637</f>
        <v>16</v>
      </c>
    </row>
    <row r="638" spans="1:7" ht="15" customHeight="1">
      <c r="A638" s="19" t="s">
        <v>128</v>
      </c>
      <c r="B638" s="20" t="s">
        <v>33</v>
      </c>
      <c r="C638" s="20">
        <v>83</v>
      </c>
      <c r="D638" s="21" t="s">
        <v>63</v>
      </c>
      <c r="E638" s="21" t="s">
        <v>35</v>
      </c>
      <c r="F638" s="20">
        <v>0.35</v>
      </c>
      <c r="G638" s="22">
        <f>C638*F638</f>
        <v>29.049999999999997</v>
      </c>
    </row>
    <row r="639" spans="1:7" ht="15" customHeight="1">
      <c r="A639" s="19" t="s">
        <v>128</v>
      </c>
      <c r="B639" s="20" t="s">
        <v>36</v>
      </c>
      <c r="C639" s="20">
        <v>83</v>
      </c>
      <c r="D639" s="21" t="s">
        <v>59</v>
      </c>
      <c r="E639" s="21" t="s">
        <v>38</v>
      </c>
      <c r="F639" s="20">
        <v>0.35</v>
      </c>
      <c r="G639" s="22">
        <f>C639*F639</f>
        <v>29.049999999999997</v>
      </c>
    </row>
    <row r="640" spans="1:7" ht="15" customHeight="1">
      <c r="A640" s="19" t="s">
        <v>129</v>
      </c>
      <c r="B640" s="20" t="s">
        <v>8</v>
      </c>
      <c r="C640" s="20">
        <v>62</v>
      </c>
      <c r="D640" s="21" t="s">
        <v>9</v>
      </c>
      <c r="E640" s="21" t="s">
        <v>10</v>
      </c>
      <c r="F640" s="20">
        <v>0.15</v>
      </c>
      <c r="G640" s="22">
        <f>C640*F640</f>
        <v>9.2999999999999989</v>
      </c>
    </row>
    <row r="641" spans="1:7" ht="15" customHeight="1">
      <c r="A641" s="19" t="s">
        <v>129</v>
      </c>
      <c r="B641" s="20" t="s">
        <v>11</v>
      </c>
      <c r="C641" s="20">
        <v>61</v>
      </c>
      <c r="D641" s="21" t="s">
        <v>15</v>
      </c>
      <c r="E641" s="21" t="s">
        <v>13</v>
      </c>
      <c r="F641" s="20">
        <v>0.2</v>
      </c>
      <c r="G641" s="22">
        <f>C641*F641</f>
        <v>12.200000000000001</v>
      </c>
    </row>
    <row r="642" spans="1:7" ht="15" customHeight="1">
      <c r="A642" s="19" t="s">
        <v>129</v>
      </c>
      <c r="B642" s="20" t="s">
        <v>14</v>
      </c>
      <c r="C642" s="20">
        <v>61</v>
      </c>
      <c r="D642" s="21" t="s">
        <v>15</v>
      </c>
      <c r="E642" s="21" t="s">
        <v>13</v>
      </c>
      <c r="F642" s="20">
        <v>0.25</v>
      </c>
      <c r="G642" s="22">
        <f>C642*F642</f>
        <v>15.25</v>
      </c>
    </row>
    <row r="643" spans="1:7" ht="15" customHeight="1">
      <c r="A643" s="19" t="s">
        <v>129</v>
      </c>
      <c r="B643" s="20" t="s">
        <v>16</v>
      </c>
      <c r="C643" s="20">
        <v>63</v>
      </c>
      <c r="D643" s="21" t="s">
        <v>17</v>
      </c>
      <c r="E643" s="21" t="s">
        <v>18</v>
      </c>
      <c r="F643" s="20">
        <v>0.4</v>
      </c>
      <c r="G643" s="22">
        <f>C643*F643</f>
        <v>25.200000000000003</v>
      </c>
    </row>
    <row r="644" spans="1:7" ht="15" customHeight="1">
      <c r="A644" s="19" t="s">
        <v>129</v>
      </c>
      <c r="B644" s="20" t="s">
        <v>19</v>
      </c>
      <c r="C644" s="20">
        <v>53</v>
      </c>
      <c r="D644" s="21" t="s">
        <v>20</v>
      </c>
      <c r="E644" s="21" t="s">
        <v>21</v>
      </c>
      <c r="F644" s="20">
        <v>0.2</v>
      </c>
      <c r="G644" s="22">
        <f>C644*F644</f>
        <v>10.600000000000001</v>
      </c>
    </row>
    <row r="645" spans="1:7" ht="15" customHeight="1">
      <c r="A645" s="19" t="s">
        <v>129</v>
      </c>
      <c r="B645" s="20" t="s">
        <v>22</v>
      </c>
      <c r="C645" s="20">
        <v>56</v>
      </c>
      <c r="D645" s="21" t="s">
        <v>23</v>
      </c>
      <c r="E645" s="21" t="s">
        <v>24</v>
      </c>
      <c r="F645" s="20">
        <v>0.3</v>
      </c>
      <c r="G645" s="22">
        <f>C645*F645</f>
        <v>16.8</v>
      </c>
    </row>
    <row r="646" spans="1:7" ht="15" customHeight="1">
      <c r="A646" s="19" t="s">
        <v>129</v>
      </c>
      <c r="B646" s="20" t="s">
        <v>25</v>
      </c>
      <c r="C646" s="20">
        <v>52</v>
      </c>
      <c r="D646" s="21" t="s">
        <v>50</v>
      </c>
      <c r="E646" s="21" t="s">
        <v>27</v>
      </c>
      <c r="F646" s="20">
        <v>0.5</v>
      </c>
      <c r="G646" s="22">
        <f>C646*F646</f>
        <v>26</v>
      </c>
    </row>
    <row r="647" spans="1:7" ht="15" customHeight="1">
      <c r="A647" s="19" t="s">
        <v>129</v>
      </c>
      <c r="B647" s="20" t="s">
        <v>28</v>
      </c>
      <c r="C647" s="20">
        <v>54</v>
      </c>
      <c r="D647" s="21" t="s">
        <v>29</v>
      </c>
      <c r="E647" s="21" t="s">
        <v>30</v>
      </c>
      <c r="F647" s="20">
        <v>0.1</v>
      </c>
      <c r="G647" s="22">
        <f>C647*F647</f>
        <v>5.4</v>
      </c>
    </row>
    <row r="648" spans="1:7" ht="15" customHeight="1">
      <c r="A648" s="19" t="s">
        <v>129</v>
      </c>
      <c r="B648" s="20" t="s">
        <v>31</v>
      </c>
      <c r="C648" s="20">
        <v>52</v>
      </c>
      <c r="D648" s="21" t="s">
        <v>29</v>
      </c>
      <c r="E648" s="21" t="s">
        <v>30</v>
      </c>
      <c r="F648" s="20">
        <v>0.2</v>
      </c>
      <c r="G648" s="22">
        <f>C648*F648</f>
        <v>10.4</v>
      </c>
    </row>
    <row r="649" spans="1:7" ht="15" customHeight="1">
      <c r="A649" s="19" t="s">
        <v>129</v>
      </c>
      <c r="B649" s="20" t="s">
        <v>33</v>
      </c>
      <c r="C649" s="20">
        <v>56</v>
      </c>
      <c r="D649" s="21" t="s">
        <v>34</v>
      </c>
      <c r="E649" s="21" t="s">
        <v>35</v>
      </c>
      <c r="F649" s="20">
        <v>0.35</v>
      </c>
      <c r="G649" s="22">
        <f>C649*F649</f>
        <v>19.599999999999998</v>
      </c>
    </row>
    <row r="650" spans="1:7" ht="15" customHeight="1">
      <c r="A650" s="19" t="s">
        <v>129</v>
      </c>
      <c r="B650" s="20" t="s">
        <v>36</v>
      </c>
      <c r="C650" s="20">
        <v>51</v>
      </c>
      <c r="D650" s="21" t="s">
        <v>48</v>
      </c>
      <c r="E650" s="21" t="s">
        <v>38</v>
      </c>
      <c r="F650" s="20">
        <v>0.35</v>
      </c>
      <c r="G650" s="22">
        <f>C650*F650</f>
        <v>17.849999999999998</v>
      </c>
    </row>
    <row r="651" spans="1:7" ht="15" customHeight="1">
      <c r="A651" s="19" t="s">
        <v>130</v>
      </c>
      <c r="B651" s="20" t="s">
        <v>8</v>
      </c>
      <c r="C651" s="20">
        <v>69</v>
      </c>
      <c r="D651" s="21" t="s">
        <v>40</v>
      </c>
      <c r="E651" s="21" t="s">
        <v>10</v>
      </c>
      <c r="F651" s="20">
        <v>0.15</v>
      </c>
      <c r="G651" s="22">
        <f>C651*F651</f>
        <v>10.35</v>
      </c>
    </row>
    <row r="652" spans="1:7" ht="15" customHeight="1">
      <c r="A652" s="19" t="s">
        <v>130</v>
      </c>
      <c r="B652" s="20" t="s">
        <v>11</v>
      </c>
      <c r="C652" s="20">
        <v>68</v>
      </c>
      <c r="D652" s="21" t="s">
        <v>41</v>
      </c>
      <c r="E652" s="21" t="s">
        <v>13</v>
      </c>
      <c r="F652" s="20">
        <v>0.2</v>
      </c>
      <c r="G652" s="22">
        <f>C652*F652</f>
        <v>13.600000000000001</v>
      </c>
    </row>
    <row r="653" spans="1:7" ht="15" customHeight="1">
      <c r="A653" s="19" t="s">
        <v>130</v>
      </c>
      <c r="B653" s="20" t="s">
        <v>14</v>
      </c>
      <c r="C653" s="20">
        <v>70</v>
      </c>
      <c r="D653" s="21" t="s">
        <v>41</v>
      </c>
      <c r="E653" s="21" t="s">
        <v>13</v>
      </c>
      <c r="F653" s="20">
        <v>0.25</v>
      </c>
      <c r="G653" s="22">
        <f>C653*F653</f>
        <v>17.5</v>
      </c>
    </row>
    <row r="654" spans="1:7" ht="15" customHeight="1">
      <c r="A654" s="19" t="s">
        <v>130</v>
      </c>
      <c r="B654" s="20" t="s">
        <v>16</v>
      </c>
      <c r="C654" s="20">
        <v>70</v>
      </c>
      <c r="D654" s="21" t="s">
        <v>42</v>
      </c>
      <c r="E654" s="21" t="s">
        <v>18</v>
      </c>
      <c r="F654" s="20">
        <v>0.4</v>
      </c>
      <c r="G654" s="22">
        <f>C654*F654</f>
        <v>28</v>
      </c>
    </row>
    <row r="655" spans="1:7" ht="15" customHeight="1">
      <c r="A655" s="19" t="s">
        <v>130</v>
      </c>
      <c r="B655" s="20" t="s">
        <v>19</v>
      </c>
      <c r="C655" s="20">
        <v>68</v>
      </c>
      <c r="D655" s="21" t="s">
        <v>43</v>
      </c>
      <c r="E655" s="21" t="s">
        <v>21</v>
      </c>
      <c r="F655" s="20">
        <v>0.2</v>
      </c>
      <c r="G655" s="22">
        <f>C655*F655</f>
        <v>13.600000000000001</v>
      </c>
    </row>
    <row r="656" spans="1:7" ht="15" customHeight="1">
      <c r="A656" s="19" t="s">
        <v>130</v>
      </c>
      <c r="B656" s="20" t="s">
        <v>22</v>
      </c>
      <c r="C656" s="20">
        <v>69</v>
      </c>
      <c r="D656" s="21" t="s">
        <v>44</v>
      </c>
      <c r="E656" s="21" t="s">
        <v>24</v>
      </c>
      <c r="F656" s="20">
        <v>0.3</v>
      </c>
      <c r="G656" s="22">
        <f>C656*F656</f>
        <v>20.7</v>
      </c>
    </row>
    <row r="657" spans="1:7" ht="15" customHeight="1">
      <c r="A657" s="19" t="s">
        <v>130</v>
      </c>
      <c r="B657" s="20" t="s">
        <v>25</v>
      </c>
      <c r="C657" s="20">
        <v>65</v>
      </c>
      <c r="D657" s="21" t="s">
        <v>45</v>
      </c>
      <c r="E657" s="21" t="s">
        <v>27</v>
      </c>
      <c r="F657" s="20">
        <v>0.5</v>
      </c>
      <c r="G657" s="22">
        <f>C657*F657</f>
        <v>32.5</v>
      </c>
    </row>
    <row r="658" spans="1:7" ht="15" customHeight="1">
      <c r="A658" s="19" t="s">
        <v>130</v>
      </c>
      <c r="B658" s="20" t="s">
        <v>28</v>
      </c>
      <c r="C658" s="20">
        <v>67</v>
      </c>
      <c r="D658" s="21" t="s">
        <v>46</v>
      </c>
      <c r="E658" s="21" t="s">
        <v>30</v>
      </c>
      <c r="F658" s="20">
        <v>0.1</v>
      </c>
      <c r="G658" s="22">
        <f>C658*F658</f>
        <v>6.7</v>
      </c>
    </row>
    <row r="659" spans="1:7" ht="15" customHeight="1">
      <c r="A659" s="19" t="s">
        <v>130</v>
      </c>
      <c r="B659" s="20" t="s">
        <v>31</v>
      </c>
      <c r="C659" s="20">
        <v>70</v>
      </c>
      <c r="D659" s="21" t="s">
        <v>46</v>
      </c>
      <c r="E659" s="21" t="s">
        <v>30</v>
      </c>
      <c r="F659" s="20">
        <v>0.2</v>
      </c>
      <c r="G659" s="22">
        <f>C659*F659</f>
        <v>14</v>
      </c>
    </row>
    <row r="660" spans="1:7" ht="15" customHeight="1">
      <c r="A660" s="19" t="s">
        <v>130</v>
      </c>
      <c r="B660" s="20" t="s">
        <v>33</v>
      </c>
      <c r="C660" s="20">
        <v>69</v>
      </c>
      <c r="D660" s="21" t="s">
        <v>47</v>
      </c>
      <c r="E660" s="21" t="s">
        <v>35</v>
      </c>
      <c r="F660" s="20">
        <v>0.35</v>
      </c>
      <c r="G660" s="22">
        <f>C660*F660</f>
        <v>24.15</v>
      </c>
    </row>
    <row r="661" spans="1:7" ht="15" customHeight="1">
      <c r="A661" s="19" t="s">
        <v>130</v>
      </c>
      <c r="B661" s="20" t="s">
        <v>36</v>
      </c>
      <c r="C661" s="20">
        <v>70</v>
      </c>
      <c r="D661" s="21" t="s">
        <v>51</v>
      </c>
      <c r="E661" s="21" t="s">
        <v>38</v>
      </c>
      <c r="F661" s="20">
        <v>0.35</v>
      </c>
      <c r="G661" s="22">
        <f>C661*F661</f>
        <v>24.5</v>
      </c>
    </row>
    <row r="662" spans="1:7" ht="15" customHeight="1">
      <c r="A662" s="19" t="s">
        <v>131</v>
      </c>
      <c r="B662" s="20" t="s">
        <v>8</v>
      </c>
      <c r="C662" s="20">
        <v>49</v>
      </c>
      <c r="D662" s="21" t="s">
        <v>132</v>
      </c>
      <c r="E662" s="21" t="s">
        <v>10</v>
      </c>
      <c r="F662" s="20">
        <v>0.15</v>
      </c>
      <c r="G662" s="22">
        <f>C662*F662</f>
        <v>7.35</v>
      </c>
    </row>
    <row r="663" spans="1:7" ht="15" customHeight="1">
      <c r="A663" s="19" t="s">
        <v>131</v>
      </c>
      <c r="B663" s="20" t="s">
        <v>11</v>
      </c>
      <c r="C663" s="20">
        <v>49</v>
      </c>
      <c r="D663" s="21" t="s">
        <v>12</v>
      </c>
      <c r="E663" s="21" t="s">
        <v>13</v>
      </c>
      <c r="F663" s="20">
        <v>0.2</v>
      </c>
      <c r="G663" s="22">
        <f>C663*F663</f>
        <v>9.8000000000000007</v>
      </c>
    </row>
    <row r="664" spans="1:7" ht="15" customHeight="1">
      <c r="A664" s="19" t="s">
        <v>131</v>
      </c>
      <c r="B664" s="20" t="s">
        <v>14</v>
      </c>
      <c r="C664" s="20">
        <v>46</v>
      </c>
      <c r="D664" s="21" t="s">
        <v>12</v>
      </c>
      <c r="E664" s="21" t="s">
        <v>13</v>
      </c>
      <c r="F664" s="20">
        <v>0.25</v>
      </c>
      <c r="G664" s="22">
        <f>C664*F664</f>
        <v>11.5</v>
      </c>
    </row>
    <row r="665" spans="1:7" ht="15" customHeight="1">
      <c r="A665" s="19" t="s">
        <v>131</v>
      </c>
      <c r="B665" s="20" t="s">
        <v>16</v>
      </c>
      <c r="C665" s="20">
        <v>48</v>
      </c>
      <c r="D665" s="21" t="s">
        <v>124</v>
      </c>
      <c r="E665" s="21" t="s">
        <v>18</v>
      </c>
      <c r="F665" s="20">
        <v>0.4</v>
      </c>
      <c r="G665" s="22">
        <f>C665*F665</f>
        <v>19.200000000000003</v>
      </c>
    </row>
    <row r="666" spans="1:7" ht="15" customHeight="1">
      <c r="A666" s="19" t="s">
        <v>131</v>
      </c>
      <c r="B666" s="20" t="s">
        <v>19</v>
      </c>
      <c r="C666" s="20">
        <v>55</v>
      </c>
      <c r="D666" s="21" t="s">
        <v>20</v>
      </c>
      <c r="E666" s="21" t="s">
        <v>21</v>
      </c>
      <c r="F666" s="20">
        <v>0.2</v>
      </c>
      <c r="G666" s="22">
        <f>C666*F666</f>
        <v>11</v>
      </c>
    </row>
    <row r="667" spans="1:7" ht="15" customHeight="1">
      <c r="A667" s="19" t="s">
        <v>131</v>
      </c>
      <c r="B667" s="20" t="s">
        <v>22</v>
      </c>
      <c r="C667" s="20">
        <v>55</v>
      </c>
      <c r="D667" s="21" t="s">
        <v>23</v>
      </c>
      <c r="E667" s="21" t="s">
        <v>24</v>
      </c>
      <c r="F667" s="20">
        <v>0.3</v>
      </c>
      <c r="G667" s="22">
        <f>C667*F667</f>
        <v>16.5</v>
      </c>
    </row>
    <row r="668" spans="1:7" ht="15" customHeight="1">
      <c r="A668" s="19" t="s">
        <v>131</v>
      </c>
      <c r="B668" s="20" t="s">
        <v>25</v>
      </c>
      <c r="C668" s="20">
        <v>53</v>
      </c>
      <c r="D668" s="21" t="s">
        <v>50</v>
      </c>
      <c r="E668" s="21" t="s">
        <v>27</v>
      </c>
      <c r="F668" s="20">
        <v>0.5</v>
      </c>
      <c r="G668" s="22">
        <f>C668*F668</f>
        <v>26.5</v>
      </c>
    </row>
    <row r="669" spans="1:7" ht="15" customHeight="1">
      <c r="A669" s="19" t="s">
        <v>131</v>
      </c>
      <c r="B669" s="20" t="s">
        <v>28</v>
      </c>
      <c r="C669" s="20">
        <v>47</v>
      </c>
      <c r="D669" s="21" t="s">
        <v>32</v>
      </c>
      <c r="E669" s="21" t="s">
        <v>30</v>
      </c>
      <c r="F669" s="20">
        <v>0.1</v>
      </c>
      <c r="G669" s="22">
        <f>C669*F669</f>
        <v>4.7</v>
      </c>
    </row>
    <row r="670" spans="1:7" ht="15" customHeight="1">
      <c r="A670" s="19" t="s">
        <v>131</v>
      </c>
      <c r="B670" s="20" t="s">
        <v>31</v>
      </c>
      <c r="C670" s="20">
        <v>52</v>
      </c>
      <c r="D670" s="21" t="s">
        <v>29</v>
      </c>
      <c r="E670" s="21" t="s">
        <v>30</v>
      </c>
      <c r="F670" s="20">
        <v>0.2</v>
      </c>
      <c r="G670" s="22">
        <f>C670*F670</f>
        <v>10.4</v>
      </c>
    </row>
    <row r="671" spans="1:7" ht="15" customHeight="1">
      <c r="A671" s="19" t="s">
        <v>131</v>
      </c>
      <c r="B671" s="20" t="s">
        <v>33</v>
      </c>
      <c r="C671" s="20">
        <v>48</v>
      </c>
      <c r="D671" s="21" t="s">
        <v>118</v>
      </c>
      <c r="E671" s="21" t="s">
        <v>35</v>
      </c>
      <c r="F671" s="20">
        <v>0.35</v>
      </c>
      <c r="G671" s="22">
        <f>C671*F671</f>
        <v>16.799999999999997</v>
      </c>
    </row>
    <row r="672" spans="1:7" ht="15" customHeight="1">
      <c r="A672" s="19" t="s">
        <v>131</v>
      </c>
      <c r="B672" s="20" t="s">
        <v>36</v>
      </c>
      <c r="C672" s="20">
        <v>47</v>
      </c>
      <c r="D672" s="21" t="s">
        <v>37</v>
      </c>
      <c r="E672" s="21" t="s">
        <v>38</v>
      </c>
      <c r="F672" s="20">
        <v>0.35</v>
      </c>
      <c r="G672" s="22">
        <f>C672*F672</f>
        <v>16.45</v>
      </c>
    </row>
    <row r="673" spans="1:7" ht="15" customHeight="1">
      <c r="A673" s="19" t="s">
        <v>133</v>
      </c>
      <c r="B673" s="20" t="s">
        <v>8</v>
      </c>
      <c r="C673" s="20">
        <v>63</v>
      </c>
      <c r="D673" s="21" t="s">
        <v>9</v>
      </c>
      <c r="E673" s="21" t="s">
        <v>10</v>
      </c>
      <c r="F673" s="20">
        <v>0.15</v>
      </c>
      <c r="G673" s="22">
        <f>C673*F673</f>
        <v>9.4499999999999993</v>
      </c>
    </row>
    <row r="674" spans="1:7" ht="15" customHeight="1">
      <c r="A674" s="19" t="s">
        <v>133</v>
      </c>
      <c r="B674" s="20" t="s">
        <v>11</v>
      </c>
      <c r="C674" s="20">
        <v>62</v>
      </c>
      <c r="D674" s="21" t="s">
        <v>15</v>
      </c>
      <c r="E674" s="21" t="s">
        <v>13</v>
      </c>
      <c r="F674" s="20">
        <v>0.2</v>
      </c>
      <c r="G674" s="22">
        <f>C674*F674</f>
        <v>12.4</v>
      </c>
    </row>
    <row r="675" spans="1:7" ht="15" customHeight="1">
      <c r="A675" s="19" t="s">
        <v>133</v>
      </c>
      <c r="B675" s="20" t="s">
        <v>14</v>
      </c>
      <c r="C675" s="20">
        <v>64</v>
      </c>
      <c r="D675" s="21" t="s">
        <v>15</v>
      </c>
      <c r="E675" s="21" t="s">
        <v>13</v>
      </c>
      <c r="F675" s="20">
        <v>0.25</v>
      </c>
      <c r="G675" s="22">
        <f>C675*F675</f>
        <v>16</v>
      </c>
    </row>
    <row r="676" spans="1:7" ht="15" customHeight="1">
      <c r="A676" s="19" t="s">
        <v>133</v>
      </c>
      <c r="B676" s="20" t="s">
        <v>16</v>
      </c>
      <c r="C676" s="20">
        <v>62</v>
      </c>
      <c r="D676" s="21" t="s">
        <v>17</v>
      </c>
      <c r="E676" s="21" t="s">
        <v>18</v>
      </c>
      <c r="F676" s="20">
        <v>0.4</v>
      </c>
      <c r="G676" s="22">
        <f>C676*F676</f>
        <v>24.8</v>
      </c>
    </row>
    <row r="677" spans="1:7" ht="15" customHeight="1">
      <c r="A677" s="19" t="s">
        <v>133</v>
      </c>
      <c r="B677" s="20" t="s">
        <v>19</v>
      </c>
      <c r="C677" s="20">
        <v>61</v>
      </c>
      <c r="D677" s="21" t="s">
        <v>20</v>
      </c>
      <c r="E677" s="21" t="s">
        <v>21</v>
      </c>
      <c r="F677" s="20">
        <v>0.2</v>
      </c>
      <c r="G677" s="22">
        <f>C677*F677</f>
        <v>12.200000000000001</v>
      </c>
    </row>
    <row r="678" spans="1:7" ht="15" customHeight="1">
      <c r="A678" s="19" t="s">
        <v>133</v>
      </c>
      <c r="B678" s="20" t="s">
        <v>22</v>
      </c>
      <c r="C678" s="20">
        <v>64</v>
      </c>
      <c r="D678" s="21" t="s">
        <v>23</v>
      </c>
      <c r="E678" s="21" t="s">
        <v>24</v>
      </c>
      <c r="F678" s="20">
        <v>0.3</v>
      </c>
      <c r="G678" s="22">
        <f>C678*F678</f>
        <v>19.2</v>
      </c>
    </row>
    <row r="679" spans="1:7" ht="15" customHeight="1">
      <c r="A679" s="19" t="s">
        <v>133</v>
      </c>
      <c r="B679" s="20" t="s">
        <v>25</v>
      </c>
      <c r="C679" s="20">
        <v>63</v>
      </c>
      <c r="D679" s="21" t="s">
        <v>50</v>
      </c>
      <c r="E679" s="21" t="s">
        <v>27</v>
      </c>
      <c r="F679" s="20">
        <v>0.5</v>
      </c>
      <c r="G679" s="22">
        <f>C679*F679</f>
        <v>31.5</v>
      </c>
    </row>
    <row r="680" spans="1:7" ht="15" customHeight="1">
      <c r="A680" s="19" t="s">
        <v>133</v>
      </c>
      <c r="B680" s="20" t="s">
        <v>28</v>
      </c>
      <c r="C680" s="20">
        <v>65</v>
      </c>
      <c r="D680" s="21" t="s">
        <v>46</v>
      </c>
      <c r="E680" s="21" t="s">
        <v>30</v>
      </c>
      <c r="F680" s="20">
        <v>0.1</v>
      </c>
      <c r="G680" s="22">
        <f>C680*F680</f>
        <v>6.5</v>
      </c>
    </row>
    <row r="681" spans="1:7" ht="15" customHeight="1">
      <c r="A681" s="19" t="s">
        <v>133</v>
      </c>
      <c r="B681" s="20" t="s">
        <v>31</v>
      </c>
      <c r="C681" s="20">
        <v>64</v>
      </c>
      <c r="D681" s="21" t="s">
        <v>29</v>
      </c>
      <c r="E681" s="21" t="s">
        <v>30</v>
      </c>
      <c r="F681" s="20">
        <v>0.2</v>
      </c>
      <c r="G681" s="22">
        <f>C681*F681</f>
        <v>12.8</v>
      </c>
    </row>
    <row r="682" spans="1:7" ht="15" customHeight="1">
      <c r="A682" s="19" t="s">
        <v>133</v>
      </c>
      <c r="B682" s="20" t="s">
        <v>33</v>
      </c>
      <c r="C682" s="20">
        <v>61</v>
      </c>
      <c r="D682" s="21" t="s">
        <v>34</v>
      </c>
      <c r="E682" s="21" t="s">
        <v>35</v>
      </c>
      <c r="F682" s="20">
        <v>0.35</v>
      </c>
      <c r="G682" s="22">
        <f>C682*F682</f>
        <v>21.349999999999998</v>
      </c>
    </row>
    <row r="683" spans="1:7" ht="15" customHeight="1">
      <c r="A683" s="19" t="s">
        <v>133</v>
      </c>
      <c r="B683" s="20" t="s">
        <v>36</v>
      </c>
      <c r="C683" s="20">
        <v>63</v>
      </c>
      <c r="D683" s="21" t="s">
        <v>48</v>
      </c>
      <c r="E683" s="21" t="s">
        <v>38</v>
      </c>
      <c r="F683" s="20">
        <v>0.35</v>
      </c>
      <c r="G683" s="22">
        <f>C683*F683</f>
        <v>22.049999999999997</v>
      </c>
    </row>
    <row r="684" spans="1:7" ht="15" customHeight="1">
      <c r="A684" s="19" t="s">
        <v>134</v>
      </c>
      <c r="B684" s="20" t="s">
        <v>8</v>
      </c>
      <c r="C684" s="20">
        <v>91</v>
      </c>
      <c r="D684" s="21" t="s">
        <v>74</v>
      </c>
      <c r="E684" s="21" t="s">
        <v>10</v>
      </c>
      <c r="F684" s="20">
        <v>0.15</v>
      </c>
      <c r="G684" s="22">
        <f>C684*F684</f>
        <v>13.65</v>
      </c>
    </row>
    <row r="685" spans="1:7" ht="15" customHeight="1">
      <c r="A685" s="19" t="s">
        <v>134</v>
      </c>
      <c r="B685" s="20" t="s">
        <v>11</v>
      </c>
      <c r="C685" s="20">
        <v>94</v>
      </c>
      <c r="D685" s="21" t="s">
        <v>75</v>
      </c>
      <c r="E685" s="21" t="s">
        <v>13</v>
      </c>
      <c r="F685" s="20">
        <v>0.2</v>
      </c>
      <c r="G685" s="22">
        <f>C685*F685</f>
        <v>18.8</v>
      </c>
    </row>
    <row r="686" spans="1:7" ht="15" customHeight="1">
      <c r="A686" s="19" t="s">
        <v>134</v>
      </c>
      <c r="B686" s="20" t="s">
        <v>14</v>
      </c>
      <c r="C686" s="20">
        <v>90</v>
      </c>
      <c r="D686" s="21" t="s">
        <v>75</v>
      </c>
      <c r="E686" s="21" t="s">
        <v>13</v>
      </c>
      <c r="F686" s="20">
        <v>0.25</v>
      </c>
      <c r="G686" s="22">
        <f>C686*F686</f>
        <v>22.5</v>
      </c>
    </row>
    <row r="687" spans="1:7" ht="15" customHeight="1">
      <c r="A687" s="19" t="s">
        <v>134</v>
      </c>
      <c r="B687" s="20" t="s">
        <v>16</v>
      </c>
      <c r="C687" s="20">
        <v>91</v>
      </c>
      <c r="D687" s="21" t="s">
        <v>76</v>
      </c>
      <c r="E687" s="21" t="s">
        <v>18</v>
      </c>
      <c r="F687" s="20">
        <v>0.4</v>
      </c>
      <c r="G687" s="22">
        <f>C687*F687</f>
        <v>36.4</v>
      </c>
    </row>
    <row r="688" spans="1:7" ht="15" customHeight="1">
      <c r="A688" s="19" t="s">
        <v>134</v>
      </c>
      <c r="B688" s="20" t="s">
        <v>19</v>
      </c>
      <c r="C688" s="20">
        <v>97</v>
      </c>
      <c r="D688" s="21" t="s">
        <v>88</v>
      </c>
      <c r="E688" s="21" t="s">
        <v>21</v>
      </c>
      <c r="F688" s="20">
        <v>0.2</v>
      </c>
      <c r="G688" s="22">
        <f>C688*F688</f>
        <v>19.400000000000002</v>
      </c>
    </row>
    <row r="689" spans="1:7" ht="15" customHeight="1">
      <c r="A689" s="19" t="s">
        <v>134</v>
      </c>
      <c r="B689" s="20" t="s">
        <v>22</v>
      </c>
      <c r="C689" s="20">
        <v>94</v>
      </c>
      <c r="D689" s="21" t="s">
        <v>97</v>
      </c>
      <c r="E689" s="21" t="s">
        <v>24</v>
      </c>
      <c r="F689" s="20">
        <v>0.3</v>
      </c>
      <c r="G689" s="22">
        <f>C689*F689</f>
        <v>28.2</v>
      </c>
    </row>
    <row r="690" spans="1:7" ht="15" customHeight="1">
      <c r="A690" s="19" t="s">
        <v>134</v>
      </c>
      <c r="B690" s="20" t="s">
        <v>25</v>
      </c>
      <c r="C690" s="20">
        <v>94</v>
      </c>
      <c r="D690" s="21" t="s">
        <v>89</v>
      </c>
      <c r="E690" s="21" t="s">
        <v>27</v>
      </c>
      <c r="F690" s="20">
        <v>0.5</v>
      </c>
      <c r="G690" s="22">
        <f>C690*F690</f>
        <v>47</v>
      </c>
    </row>
    <row r="691" spans="1:7" ht="15" customHeight="1">
      <c r="A691" s="19" t="s">
        <v>134</v>
      </c>
      <c r="B691" s="20" t="s">
        <v>28</v>
      </c>
      <c r="C691" s="20">
        <v>95</v>
      </c>
      <c r="D691" s="21" t="s">
        <v>90</v>
      </c>
      <c r="E691" s="21" t="s">
        <v>30</v>
      </c>
      <c r="F691" s="20">
        <v>0.1</v>
      </c>
      <c r="G691" s="22">
        <f>C691*F691</f>
        <v>9.5</v>
      </c>
    </row>
    <row r="692" spans="1:7" ht="15" customHeight="1">
      <c r="A692" s="19" t="s">
        <v>134</v>
      </c>
      <c r="B692" s="20" t="s">
        <v>31</v>
      </c>
      <c r="C692" s="20">
        <v>97</v>
      </c>
      <c r="D692" s="21" t="s">
        <v>90</v>
      </c>
      <c r="E692" s="21" t="s">
        <v>30</v>
      </c>
      <c r="F692" s="20">
        <v>0.2</v>
      </c>
      <c r="G692" s="22">
        <f>C692*F692</f>
        <v>19.400000000000002</v>
      </c>
    </row>
    <row r="693" spans="1:7" ht="15" customHeight="1">
      <c r="A693" s="19" t="s">
        <v>134</v>
      </c>
      <c r="B693" s="20" t="s">
        <v>33</v>
      </c>
      <c r="C693" s="20">
        <v>91</v>
      </c>
      <c r="D693" s="21" t="s">
        <v>98</v>
      </c>
      <c r="E693" s="21" t="s">
        <v>35</v>
      </c>
      <c r="F693" s="20">
        <v>0.35</v>
      </c>
      <c r="G693" s="22">
        <f>C693*F693</f>
        <v>31.849999999999998</v>
      </c>
    </row>
    <row r="694" spans="1:7" ht="15" customHeight="1">
      <c r="A694" s="19" t="s">
        <v>134</v>
      </c>
      <c r="B694" s="20" t="s">
        <v>36</v>
      </c>
      <c r="C694" s="20">
        <v>95</v>
      </c>
      <c r="D694" s="21" t="s">
        <v>111</v>
      </c>
      <c r="E694" s="21" t="s">
        <v>38</v>
      </c>
      <c r="F694" s="20">
        <v>0.35</v>
      </c>
      <c r="G694" s="22">
        <f>C694*F694</f>
        <v>33.25</v>
      </c>
    </row>
    <row r="695" spans="1:7" ht="15" customHeight="1">
      <c r="A695" s="19" t="s">
        <v>135</v>
      </c>
      <c r="B695" s="20" t="s">
        <v>8</v>
      </c>
      <c r="C695" s="20">
        <v>55</v>
      </c>
      <c r="D695" s="21" t="s">
        <v>9</v>
      </c>
      <c r="E695" s="21" t="s">
        <v>10</v>
      </c>
      <c r="F695" s="20">
        <v>0.15</v>
      </c>
      <c r="G695" s="22">
        <f>C695*F695</f>
        <v>8.25</v>
      </c>
    </row>
    <row r="696" spans="1:7" ht="15" customHeight="1">
      <c r="A696" s="19" t="s">
        <v>135</v>
      </c>
      <c r="B696" s="20" t="s">
        <v>11</v>
      </c>
      <c r="C696" s="20">
        <v>54</v>
      </c>
      <c r="D696" s="21" t="s">
        <v>15</v>
      </c>
      <c r="E696" s="21" t="s">
        <v>13</v>
      </c>
      <c r="F696" s="20">
        <v>0.2</v>
      </c>
      <c r="G696" s="22">
        <f>C696*F696</f>
        <v>10.8</v>
      </c>
    </row>
    <row r="697" spans="1:7" ht="15" customHeight="1">
      <c r="A697" s="19" t="s">
        <v>135</v>
      </c>
      <c r="B697" s="20" t="s">
        <v>14</v>
      </c>
      <c r="C697" s="20">
        <v>51</v>
      </c>
      <c r="D697" s="21" t="s">
        <v>15</v>
      </c>
      <c r="E697" s="21" t="s">
        <v>13</v>
      </c>
      <c r="F697" s="20">
        <v>0.25</v>
      </c>
      <c r="G697" s="22">
        <f>C697*F697</f>
        <v>12.75</v>
      </c>
    </row>
    <row r="698" spans="1:7" ht="15" customHeight="1">
      <c r="A698" s="19" t="s">
        <v>135</v>
      </c>
      <c r="B698" s="20" t="s">
        <v>16</v>
      </c>
      <c r="C698" s="20">
        <v>51</v>
      </c>
      <c r="D698" s="21" t="s">
        <v>17</v>
      </c>
      <c r="E698" s="21" t="s">
        <v>18</v>
      </c>
      <c r="F698" s="20">
        <v>0.4</v>
      </c>
      <c r="G698" s="22">
        <f>C698*F698</f>
        <v>20.400000000000002</v>
      </c>
    </row>
    <row r="699" spans="1:7" ht="15" customHeight="1">
      <c r="A699" s="19" t="s">
        <v>135</v>
      </c>
      <c r="B699" s="20" t="s">
        <v>19</v>
      </c>
      <c r="C699" s="20">
        <v>57</v>
      </c>
      <c r="D699" s="21" t="s">
        <v>20</v>
      </c>
      <c r="E699" s="21" t="s">
        <v>21</v>
      </c>
      <c r="F699" s="20">
        <v>0.2</v>
      </c>
      <c r="G699" s="22">
        <f>C699*F699</f>
        <v>11.4</v>
      </c>
    </row>
    <row r="700" spans="1:7" ht="15" customHeight="1">
      <c r="A700" s="19" t="s">
        <v>135</v>
      </c>
      <c r="B700" s="20" t="s">
        <v>22</v>
      </c>
      <c r="C700" s="20">
        <v>55</v>
      </c>
      <c r="D700" s="21" t="s">
        <v>23</v>
      </c>
      <c r="E700" s="21" t="s">
        <v>24</v>
      </c>
      <c r="F700" s="20">
        <v>0.3</v>
      </c>
      <c r="G700" s="22">
        <f>C700*F700</f>
        <v>16.5</v>
      </c>
    </row>
    <row r="701" spans="1:7" ht="15" customHeight="1">
      <c r="A701" s="19" t="s">
        <v>135</v>
      </c>
      <c r="B701" s="20" t="s">
        <v>25</v>
      </c>
      <c r="C701" s="20">
        <v>60</v>
      </c>
      <c r="D701" s="21" t="s">
        <v>50</v>
      </c>
      <c r="E701" s="21" t="s">
        <v>27</v>
      </c>
      <c r="F701" s="20">
        <v>0.5</v>
      </c>
      <c r="G701" s="22">
        <f>C701*F701</f>
        <v>30</v>
      </c>
    </row>
    <row r="702" spans="1:7" ht="15" customHeight="1">
      <c r="A702" s="19" t="s">
        <v>135</v>
      </c>
      <c r="B702" s="20" t="s">
        <v>28</v>
      </c>
      <c r="C702" s="20">
        <v>56</v>
      </c>
      <c r="D702" s="21" t="s">
        <v>29</v>
      </c>
      <c r="E702" s="21" t="s">
        <v>30</v>
      </c>
      <c r="F702" s="20">
        <v>0.1</v>
      </c>
      <c r="G702" s="22">
        <f>C702*F702</f>
        <v>5.6000000000000005</v>
      </c>
    </row>
    <row r="703" spans="1:7" ht="15" customHeight="1">
      <c r="A703" s="19" t="s">
        <v>135</v>
      </c>
      <c r="B703" s="20" t="s">
        <v>31</v>
      </c>
      <c r="C703" s="20">
        <v>52</v>
      </c>
      <c r="D703" s="21" t="s">
        <v>29</v>
      </c>
      <c r="E703" s="21" t="s">
        <v>30</v>
      </c>
      <c r="F703" s="20">
        <v>0.2</v>
      </c>
      <c r="G703" s="22">
        <f>C703*F703</f>
        <v>10.4</v>
      </c>
    </row>
    <row r="704" spans="1:7" ht="15" customHeight="1">
      <c r="A704" s="19" t="s">
        <v>135</v>
      </c>
      <c r="B704" s="20" t="s">
        <v>33</v>
      </c>
      <c r="C704" s="20">
        <v>55</v>
      </c>
      <c r="D704" s="21" t="s">
        <v>34</v>
      </c>
      <c r="E704" s="21" t="s">
        <v>35</v>
      </c>
      <c r="F704" s="20">
        <v>0.35</v>
      </c>
      <c r="G704" s="22">
        <f>C704*F704</f>
        <v>19.25</v>
      </c>
    </row>
    <row r="705" spans="1:7" ht="15" customHeight="1">
      <c r="A705" s="19" t="s">
        <v>135</v>
      </c>
      <c r="B705" s="20" t="s">
        <v>36</v>
      </c>
      <c r="C705" s="20">
        <v>53</v>
      </c>
      <c r="D705" s="21" t="s">
        <v>48</v>
      </c>
      <c r="E705" s="21" t="s">
        <v>38</v>
      </c>
      <c r="F705" s="20">
        <v>0.35</v>
      </c>
      <c r="G705" s="22">
        <f>C705*F705</f>
        <v>18.549999999999997</v>
      </c>
    </row>
    <row r="706" spans="1:7" ht="15" customHeight="1">
      <c r="A706" s="19" t="s">
        <v>136</v>
      </c>
      <c r="B706" s="20" t="s">
        <v>8</v>
      </c>
      <c r="C706" s="20">
        <v>65</v>
      </c>
      <c r="D706" s="21" t="s">
        <v>40</v>
      </c>
      <c r="E706" s="21" t="s">
        <v>10</v>
      </c>
      <c r="F706" s="20">
        <v>0.15</v>
      </c>
      <c r="G706" s="22">
        <f>C706*F706</f>
        <v>9.75</v>
      </c>
    </row>
    <row r="707" spans="1:7" ht="15" customHeight="1">
      <c r="A707" s="19" t="s">
        <v>136</v>
      </c>
      <c r="B707" s="20" t="s">
        <v>11</v>
      </c>
      <c r="C707" s="20">
        <v>65</v>
      </c>
      <c r="D707" s="21" t="s">
        <v>41</v>
      </c>
      <c r="E707" s="21" t="s">
        <v>13</v>
      </c>
      <c r="F707" s="20">
        <v>0.2</v>
      </c>
      <c r="G707" s="22">
        <f>C707*F707</f>
        <v>13</v>
      </c>
    </row>
    <row r="708" spans="1:7" ht="15" customHeight="1">
      <c r="A708" s="19" t="s">
        <v>136</v>
      </c>
      <c r="B708" s="20" t="s">
        <v>14</v>
      </c>
      <c r="C708" s="20">
        <v>68</v>
      </c>
      <c r="D708" s="21" t="s">
        <v>41</v>
      </c>
      <c r="E708" s="21" t="s">
        <v>13</v>
      </c>
      <c r="F708" s="20">
        <v>0.25</v>
      </c>
      <c r="G708" s="22">
        <f>C708*F708</f>
        <v>17</v>
      </c>
    </row>
    <row r="709" spans="1:7" ht="15" customHeight="1">
      <c r="A709" s="19" t="s">
        <v>136</v>
      </c>
      <c r="B709" s="20" t="s">
        <v>16</v>
      </c>
      <c r="C709" s="20">
        <v>67</v>
      </c>
      <c r="D709" s="21" t="s">
        <v>42</v>
      </c>
      <c r="E709" s="21" t="s">
        <v>18</v>
      </c>
      <c r="F709" s="20">
        <v>0.4</v>
      </c>
      <c r="G709" s="22">
        <f>C709*F709</f>
        <v>26.8</v>
      </c>
    </row>
    <row r="710" spans="1:7" ht="15" customHeight="1">
      <c r="A710" s="19" t="s">
        <v>136</v>
      </c>
      <c r="B710" s="20" t="s">
        <v>19</v>
      </c>
      <c r="C710" s="20">
        <v>65</v>
      </c>
      <c r="D710" s="21" t="s">
        <v>43</v>
      </c>
      <c r="E710" s="21" t="s">
        <v>21</v>
      </c>
      <c r="F710" s="20">
        <v>0.2</v>
      </c>
      <c r="G710" s="22">
        <f>C710*F710</f>
        <v>13</v>
      </c>
    </row>
    <row r="711" spans="1:7" ht="15" customHeight="1">
      <c r="A711" s="19" t="s">
        <v>136</v>
      </c>
      <c r="B711" s="20" t="s">
        <v>22</v>
      </c>
      <c r="C711" s="20">
        <v>64</v>
      </c>
      <c r="D711" s="21" t="s">
        <v>23</v>
      </c>
      <c r="E711" s="21" t="s">
        <v>24</v>
      </c>
      <c r="F711" s="20">
        <v>0.3</v>
      </c>
      <c r="G711" s="22">
        <f>C711*F711</f>
        <v>19.2</v>
      </c>
    </row>
    <row r="712" spans="1:7" ht="15" customHeight="1">
      <c r="A712" s="19" t="s">
        <v>136</v>
      </c>
      <c r="B712" s="20" t="s">
        <v>25</v>
      </c>
      <c r="C712" s="20">
        <v>65</v>
      </c>
      <c r="D712" s="21" t="s">
        <v>45</v>
      </c>
      <c r="E712" s="21" t="s">
        <v>27</v>
      </c>
      <c r="F712" s="20">
        <v>0.5</v>
      </c>
      <c r="G712" s="22">
        <f>C712*F712</f>
        <v>32.5</v>
      </c>
    </row>
    <row r="713" spans="1:7" ht="15" customHeight="1">
      <c r="A713" s="19" t="s">
        <v>136</v>
      </c>
      <c r="B713" s="20" t="s">
        <v>28</v>
      </c>
      <c r="C713" s="20">
        <v>65</v>
      </c>
      <c r="D713" s="21" t="s">
        <v>46</v>
      </c>
      <c r="E713" s="21" t="s">
        <v>30</v>
      </c>
      <c r="F713" s="20">
        <v>0.1</v>
      </c>
      <c r="G713" s="22">
        <f>C713*F713</f>
        <v>6.5</v>
      </c>
    </row>
    <row r="714" spans="1:7" ht="15" customHeight="1">
      <c r="A714" s="19" t="s">
        <v>136</v>
      </c>
      <c r="B714" s="20" t="s">
        <v>31</v>
      </c>
      <c r="C714" s="20">
        <v>63</v>
      </c>
      <c r="D714" s="21" t="s">
        <v>29</v>
      </c>
      <c r="E714" s="21" t="s">
        <v>30</v>
      </c>
      <c r="F714" s="20">
        <v>0.2</v>
      </c>
      <c r="G714" s="22">
        <f>C714*F714</f>
        <v>12.600000000000001</v>
      </c>
    </row>
    <row r="715" spans="1:7" ht="15" customHeight="1">
      <c r="A715" s="19" t="s">
        <v>136</v>
      </c>
      <c r="B715" s="20" t="s">
        <v>33</v>
      </c>
      <c r="C715" s="20">
        <v>61</v>
      </c>
      <c r="D715" s="21" t="s">
        <v>34</v>
      </c>
      <c r="E715" s="21" t="s">
        <v>35</v>
      </c>
      <c r="F715" s="20">
        <v>0.35</v>
      </c>
      <c r="G715" s="22">
        <f>C715*F715</f>
        <v>21.349999999999998</v>
      </c>
    </row>
    <row r="716" spans="1:7" ht="15" customHeight="1">
      <c r="A716" s="19" t="s">
        <v>136</v>
      </c>
      <c r="B716" s="20" t="s">
        <v>36</v>
      </c>
      <c r="C716" s="20">
        <v>61</v>
      </c>
      <c r="D716" s="21" t="s">
        <v>48</v>
      </c>
      <c r="E716" s="21" t="s">
        <v>38</v>
      </c>
      <c r="F716" s="20">
        <v>0.35</v>
      </c>
      <c r="G716" s="22">
        <f>C716*F716</f>
        <v>21.349999999999998</v>
      </c>
    </row>
    <row r="717" spans="1:7" ht="15" customHeight="1">
      <c r="A717" s="19" t="s">
        <v>137</v>
      </c>
      <c r="B717" s="20" t="s">
        <v>8</v>
      </c>
      <c r="C717" s="20">
        <v>56</v>
      </c>
      <c r="D717" s="21" t="s">
        <v>9</v>
      </c>
      <c r="E717" s="21" t="s">
        <v>10</v>
      </c>
      <c r="F717" s="20">
        <v>0.15</v>
      </c>
      <c r="G717" s="22">
        <f>C717*F717</f>
        <v>8.4</v>
      </c>
    </row>
    <row r="718" spans="1:7" ht="15" customHeight="1">
      <c r="A718" s="19" t="s">
        <v>137</v>
      </c>
      <c r="B718" s="20" t="s">
        <v>11</v>
      </c>
      <c r="C718" s="20">
        <v>59</v>
      </c>
      <c r="D718" s="21" t="s">
        <v>15</v>
      </c>
      <c r="E718" s="21" t="s">
        <v>13</v>
      </c>
      <c r="F718" s="20">
        <v>0.2</v>
      </c>
      <c r="G718" s="22">
        <f>C718*F718</f>
        <v>11.8</v>
      </c>
    </row>
    <row r="719" spans="1:7" ht="15" customHeight="1">
      <c r="A719" s="19" t="s">
        <v>137</v>
      </c>
      <c r="B719" s="20" t="s">
        <v>14</v>
      </c>
      <c r="C719" s="20">
        <v>57</v>
      </c>
      <c r="D719" s="21" t="s">
        <v>15</v>
      </c>
      <c r="E719" s="21" t="s">
        <v>13</v>
      </c>
      <c r="F719" s="20">
        <v>0.25</v>
      </c>
      <c r="G719" s="22">
        <f>C719*F719</f>
        <v>14.25</v>
      </c>
    </row>
    <row r="720" spans="1:7" ht="15" customHeight="1">
      <c r="A720" s="19" t="s">
        <v>137</v>
      </c>
      <c r="B720" s="20" t="s">
        <v>16</v>
      </c>
      <c r="C720" s="20">
        <v>56</v>
      </c>
      <c r="D720" s="21" t="s">
        <v>17</v>
      </c>
      <c r="E720" s="21" t="s">
        <v>18</v>
      </c>
      <c r="F720" s="20">
        <v>0.4</v>
      </c>
      <c r="G720" s="22">
        <f>C720*F720</f>
        <v>22.400000000000002</v>
      </c>
    </row>
    <row r="721" spans="1:7" ht="15" customHeight="1">
      <c r="A721" s="19" t="s">
        <v>137</v>
      </c>
      <c r="B721" s="20" t="s">
        <v>19</v>
      </c>
      <c r="C721" s="20">
        <v>56</v>
      </c>
      <c r="D721" s="21" t="s">
        <v>20</v>
      </c>
      <c r="E721" s="21" t="s">
        <v>21</v>
      </c>
      <c r="F721" s="20">
        <v>0.2</v>
      </c>
      <c r="G721" s="22">
        <f>C721*F721</f>
        <v>11.200000000000001</v>
      </c>
    </row>
    <row r="722" spans="1:7" ht="15" customHeight="1">
      <c r="A722" s="19" t="s">
        <v>137</v>
      </c>
      <c r="B722" s="20" t="s">
        <v>22</v>
      </c>
      <c r="C722" s="20">
        <v>59</v>
      </c>
      <c r="D722" s="21" t="s">
        <v>23</v>
      </c>
      <c r="E722" s="21" t="s">
        <v>24</v>
      </c>
      <c r="F722" s="20">
        <v>0.3</v>
      </c>
      <c r="G722" s="22">
        <f>C722*F722</f>
        <v>17.7</v>
      </c>
    </row>
    <row r="723" spans="1:7" ht="15" customHeight="1">
      <c r="A723" s="19" t="s">
        <v>137</v>
      </c>
      <c r="B723" s="20" t="s">
        <v>25</v>
      </c>
      <c r="C723" s="20">
        <v>58</v>
      </c>
      <c r="D723" s="21" t="s">
        <v>50</v>
      </c>
      <c r="E723" s="21" t="s">
        <v>27</v>
      </c>
      <c r="F723" s="20">
        <v>0.5</v>
      </c>
      <c r="G723" s="22">
        <f>C723*F723</f>
        <v>29</v>
      </c>
    </row>
    <row r="724" spans="1:7" ht="15" customHeight="1">
      <c r="A724" s="19" t="s">
        <v>137</v>
      </c>
      <c r="B724" s="20" t="s">
        <v>28</v>
      </c>
      <c r="C724" s="20">
        <v>54</v>
      </c>
      <c r="D724" s="21" t="s">
        <v>29</v>
      </c>
      <c r="E724" s="21" t="s">
        <v>30</v>
      </c>
      <c r="F724" s="20">
        <v>0.1</v>
      </c>
      <c r="G724" s="22">
        <f>C724*F724</f>
        <v>5.4</v>
      </c>
    </row>
    <row r="725" spans="1:7" ht="15" customHeight="1">
      <c r="A725" s="19" t="s">
        <v>137</v>
      </c>
      <c r="B725" s="20" t="s">
        <v>31</v>
      </c>
      <c r="C725" s="20">
        <v>52</v>
      </c>
      <c r="D725" s="21" t="s">
        <v>29</v>
      </c>
      <c r="E725" s="21" t="s">
        <v>30</v>
      </c>
      <c r="F725" s="20">
        <v>0.2</v>
      </c>
      <c r="G725" s="22">
        <f>C725*F725</f>
        <v>10.4</v>
      </c>
    </row>
    <row r="726" spans="1:7" ht="15" customHeight="1">
      <c r="A726" s="19" t="s">
        <v>137</v>
      </c>
      <c r="B726" s="20" t="s">
        <v>33</v>
      </c>
      <c r="C726" s="20">
        <v>58</v>
      </c>
      <c r="D726" s="21" t="s">
        <v>34</v>
      </c>
      <c r="E726" s="21" t="s">
        <v>35</v>
      </c>
      <c r="F726" s="20">
        <v>0.35</v>
      </c>
      <c r="G726" s="22">
        <f>C726*F726</f>
        <v>20.299999999999997</v>
      </c>
    </row>
    <row r="727" spans="1:7" ht="15" customHeight="1">
      <c r="A727" s="19" t="s">
        <v>137</v>
      </c>
      <c r="B727" s="20" t="s">
        <v>36</v>
      </c>
      <c r="C727" s="20">
        <v>52</v>
      </c>
      <c r="D727" s="21" t="s">
        <v>48</v>
      </c>
      <c r="E727" s="21" t="s">
        <v>38</v>
      </c>
      <c r="F727" s="20">
        <v>0.35</v>
      </c>
      <c r="G727" s="22">
        <f>C727*F727</f>
        <v>18.2</v>
      </c>
    </row>
    <row r="728" spans="1:7" ht="15" customHeight="1">
      <c r="A728" s="19" t="s">
        <v>138</v>
      </c>
      <c r="B728" s="20" t="s">
        <v>8</v>
      </c>
      <c r="C728" s="20">
        <v>44</v>
      </c>
      <c r="D728" s="21" t="s">
        <v>132</v>
      </c>
      <c r="E728" s="21" t="s">
        <v>10</v>
      </c>
      <c r="F728" s="20">
        <v>0.15</v>
      </c>
      <c r="G728" s="22">
        <f>C728*F728</f>
        <v>6.6</v>
      </c>
    </row>
    <row r="729" spans="1:7" ht="15" customHeight="1">
      <c r="A729" s="19" t="s">
        <v>138</v>
      </c>
      <c r="B729" s="20" t="s">
        <v>11</v>
      </c>
      <c r="C729" s="20">
        <v>39</v>
      </c>
      <c r="D729" s="21" t="s">
        <v>12</v>
      </c>
      <c r="E729" s="21" t="s">
        <v>13</v>
      </c>
      <c r="F729" s="20">
        <v>0.2</v>
      </c>
      <c r="G729" s="22">
        <f>C729*F729</f>
        <v>7.8000000000000007</v>
      </c>
    </row>
    <row r="730" spans="1:7" ht="15" customHeight="1">
      <c r="A730" s="19" t="s">
        <v>138</v>
      </c>
      <c r="B730" s="20" t="s">
        <v>14</v>
      </c>
      <c r="C730" s="20">
        <v>44</v>
      </c>
      <c r="D730" s="21" t="s">
        <v>12</v>
      </c>
      <c r="E730" s="21" t="s">
        <v>13</v>
      </c>
      <c r="F730" s="20">
        <v>0.25</v>
      </c>
      <c r="G730" s="22">
        <f>C730*F730</f>
        <v>11</v>
      </c>
    </row>
    <row r="731" spans="1:7" ht="15" customHeight="1">
      <c r="A731" s="19" t="s">
        <v>138</v>
      </c>
      <c r="B731" s="20" t="s">
        <v>16</v>
      </c>
      <c r="C731" s="20">
        <v>43</v>
      </c>
      <c r="D731" s="21" t="s">
        <v>124</v>
      </c>
      <c r="E731" s="21" t="s">
        <v>18</v>
      </c>
      <c r="F731" s="20">
        <v>0.4</v>
      </c>
      <c r="G731" s="22">
        <f>C731*F731</f>
        <v>17.2</v>
      </c>
    </row>
    <row r="732" spans="1:7" ht="15" customHeight="1">
      <c r="A732" s="19" t="s">
        <v>138</v>
      </c>
      <c r="B732" s="20" t="s">
        <v>19</v>
      </c>
      <c r="C732" s="20">
        <v>40</v>
      </c>
      <c r="D732" s="21" t="s">
        <v>53</v>
      </c>
      <c r="E732" s="21" t="s">
        <v>21</v>
      </c>
      <c r="F732" s="20">
        <v>0.2</v>
      </c>
      <c r="G732" s="22">
        <f>C732*F732</f>
        <v>8</v>
      </c>
    </row>
    <row r="733" spans="1:7" ht="15" customHeight="1">
      <c r="A733" s="19" t="s">
        <v>138</v>
      </c>
      <c r="B733" s="20" t="s">
        <v>22</v>
      </c>
      <c r="C733" s="20">
        <v>42</v>
      </c>
      <c r="D733" s="21" t="s">
        <v>54</v>
      </c>
      <c r="E733" s="21" t="s">
        <v>24</v>
      </c>
      <c r="F733" s="20">
        <v>0.3</v>
      </c>
      <c r="G733" s="22">
        <f>C733*F733</f>
        <v>12.6</v>
      </c>
    </row>
    <row r="734" spans="1:7" ht="15" customHeight="1">
      <c r="A734" s="19" t="s">
        <v>138</v>
      </c>
      <c r="B734" s="20" t="s">
        <v>25</v>
      </c>
      <c r="C734" s="20">
        <v>38</v>
      </c>
      <c r="D734" s="21" t="s">
        <v>26</v>
      </c>
      <c r="E734" s="21" t="s">
        <v>27</v>
      </c>
      <c r="F734" s="20">
        <v>0.5</v>
      </c>
      <c r="G734" s="22">
        <f>C734*F734</f>
        <v>19</v>
      </c>
    </row>
    <row r="735" spans="1:7" ht="15" customHeight="1">
      <c r="A735" s="19" t="s">
        <v>138</v>
      </c>
      <c r="B735" s="20" t="s">
        <v>28</v>
      </c>
      <c r="C735" s="20">
        <v>48</v>
      </c>
      <c r="D735" s="21" t="s">
        <v>32</v>
      </c>
      <c r="E735" s="21" t="s">
        <v>30</v>
      </c>
      <c r="F735" s="20">
        <v>0.1</v>
      </c>
      <c r="G735" s="22">
        <f>C735*F735</f>
        <v>4.8000000000000007</v>
      </c>
    </row>
    <row r="736" spans="1:7" ht="15" customHeight="1">
      <c r="A736" s="19" t="s">
        <v>138</v>
      </c>
      <c r="B736" s="20" t="s">
        <v>31</v>
      </c>
      <c r="C736" s="20">
        <v>44</v>
      </c>
      <c r="D736" s="21" t="s">
        <v>32</v>
      </c>
      <c r="E736" s="21" t="s">
        <v>30</v>
      </c>
      <c r="F736" s="20">
        <v>0.2</v>
      </c>
      <c r="G736" s="22">
        <f>C736*F736</f>
        <v>8.8000000000000007</v>
      </c>
    </row>
    <row r="737" spans="1:7" ht="15" customHeight="1">
      <c r="A737" s="19" t="s">
        <v>138</v>
      </c>
      <c r="B737" s="20" t="s">
        <v>33</v>
      </c>
      <c r="C737" s="20">
        <v>47</v>
      </c>
      <c r="D737" s="21" t="s">
        <v>118</v>
      </c>
      <c r="E737" s="21" t="s">
        <v>35</v>
      </c>
      <c r="F737" s="20">
        <v>0.35</v>
      </c>
      <c r="G737" s="22">
        <f>C737*F737</f>
        <v>16.45</v>
      </c>
    </row>
    <row r="738" spans="1:7" ht="15" customHeight="1">
      <c r="A738" s="19" t="s">
        <v>138</v>
      </c>
      <c r="B738" s="20" t="s">
        <v>36</v>
      </c>
      <c r="C738" s="20">
        <v>45</v>
      </c>
      <c r="D738" s="21" t="s">
        <v>37</v>
      </c>
      <c r="E738" s="21" t="s">
        <v>38</v>
      </c>
      <c r="F738" s="20">
        <v>0.35</v>
      </c>
      <c r="G738" s="22">
        <f>C738*F738</f>
        <v>15.749999999999998</v>
      </c>
    </row>
    <row r="739" spans="1:7" ht="15" customHeight="1">
      <c r="A739" s="19" t="s">
        <v>139</v>
      </c>
      <c r="B739" s="20" t="s">
        <v>8</v>
      </c>
      <c r="C739" s="20">
        <v>80</v>
      </c>
      <c r="D739" s="21" t="s">
        <v>56</v>
      </c>
      <c r="E739" s="21" t="s">
        <v>10</v>
      </c>
      <c r="F739" s="20">
        <v>0.15</v>
      </c>
      <c r="G739" s="22">
        <f>C739*F739</f>
        <v>12</v>
      </c>
    </row>
    <row r="740" spans="1:7" ht="15" customHeight="1">
      <c r="A740" s="19" t="s">
        <v>139</v>
      </c>
      <c r="B740" s="20" t="s">
        <v>11</v>
      </c>
      <c r="C740" s="20">
        <v>80</v>
      </c>
      <c r="D740" s="21" t="s">
        <v>61</v>
      </c>
      <c r="E740" s="21" t="s">
        <v>13</v>
      </c>
      <c r="F740" s="20">
        <v>0.2</v>
      </c>
      <c r="G740" s="22">
        <f>C740*F740</f>
        <v>16</v>
      </c>
    </row>
    <row r="741" spans="1:7" ht="15" customHeight="1">
      <c r="A741" s="19" t="s">
        <v>139</v>
      </c>
      <c r="B741" s="20" t="s">
        <v>14</v>
      </c>
      <c r="C741" s="20">
        <v>81</v>
      </c>
      <c r="D741" s="21" t="s">
        <v>61</v>
      </c>
      <c r="E741" s="21" t="s">
        <v>13</v>
      </c>
      <c r="F741" s="20">
        <v>0.25</v>
      </c>
      <c r="G741" s="22">
        <f>C741*F741</f>
        <v>20.25</v>
      </c>
    </row>
    <row r="742" spans="1:7" ht="15" customHeight="1">
      <c r="A742" s="19" t="s">
        <v>139</v>
      </c>
      <c r="B742" s="20" t="s">
        <v>16</v>
      </c>
      <c r="C742" s="20">
        <v>82</v>
      </c>
      <c r="D742" s="21" t="s">
        <v>57</v>
      </c>
      <c r="E742" s="21" t="s">
        <v>18</v>
      </c>
      <c r="F742" s="20">
        <v>0.4</v>
      </c>
      <c r="G742" s="22">
        <f>C742*F742</f>
        <v>32.800000000000004</v>
      </c>
    </row>
    <row r="743" spans="1:7" ht="15" customHeight="1">
      <c r="A743" s="19" t="s">
        <v>139</v>
      </c>
      <c r="B743" s="20" t="s">
        <v>19</v>
      </c>
      <c r="C743" s="20">
        <v>89</v>
      </c>
      <c r="D743" s="21" t="s">
        <v>88</v>
      </c>
      <c r="E743" s="21" t="s">
        <v>21</v>
      </c>
      <c r="F743" s="20">
        <v>0.2</v>
      </c>
      <c r="G743" s="22">
        <f>C743*F743</f>
        <v>17.8</v>
      </c>
    </row>
    <row r="744" spans="1:7" ht="15" customHeight="1">
      <c r="A744" s="19" t="s">
        <v>139</v>
      </c>
      <c r="B744" s="20" t="s">
        <v>22</v>
      </c>
      <c r="C744" s="20">
        <v>89</v>
      </c>
      <c r="D744" s="21" t="s">
        <v>97</v>
      </c>
      <c r="E744" s="21" t="s">
        <v>24</v>
      </c>
      <c r="F744" s="20">
        <v>0.3</v>
      </c>
      <c r="G744" s="22">
        <f>C744*F744</f>
        <v>26.7</v>
      </c>
    </row>
    <row r="745" spans="1:7" ht="15" customHeight="1">
      <c r="A745" s="19" t="s">
        <v>139</v>
      </c>
      <c r="B745" s="20" t="s">
        <v>25</v>
      </c>
      <c r="C745" s="20">
        <v>88</v>
      </c>
      <c r="D745" s="21" t="s">
        <v>89</v>
      </c>
      <c r="E745" s="21" t="s">
        <v>27</v>
      </c>
      <c r="F745" s="20">
        <v>0.5</v>
      </c>
      <c r="G745" s="22">
        <f>C745*F745</f>
        <v>44</v>
      </c>
    </row>
    <row r="746" spans="1:7" ht="15" customHeight="1">
      <c r="A746" s="19" t="s">
        <v>139</v>
      </c>
      <c r="B746" s="20" t="s">
        <v>28</v>
      </c>
      <c r="C746" s="20">
        <v>84</v>
      </c>
      <c r="D746" s="21" t="s">
        <v>62</v>
      </c>
      <c r="E746" s="21" t="s">
        <v>30</v>
      </c>
      <c r="F746" s="20">
        <v>0.1</v>
      </c>
      <c r="G746" s="22">
        <f>C746*F746</f>
        <v>8.4</v>
      </c>
    </row>
    <row r="747" spans="1:7" ht="15" customHeight="1">
      <c r="A747" s="19" t="s">
        <v>139</v>
      </c>
      <c r="B747" s="20" t="s">
        <v>31</v>
      </c>
      <c r="C747" s="20">
        <v>82</v>
      </c>
      <c r="D747" s="21" t="s">
        <v>62</v>
      </c>
      <c r="E747" s="21" t="s">
        <v>30</v>
      </c>
      <c r="F747" s="20">
        <v>0.2</v>
      </c>
      <c r="G747" s="22">
        <f>C747*F747</f>
        <v>16.400000000000002</v>
      </c>
    </row>
    <row r="748" spans="1:7" ht="15" customHeight="1">
      <c r="A748" s="19" t="s">
        <v>139</v>
      </c>
      <c r="B748" s="20" t="s">
        <v>33</v>
      </c>
      <c r="C748" s="20">
        <v>86</v>
      </c>
      <c r="D748" s="21" t="s">
        <v>98</v>
      </c>
      <c r="E748" s="21" t="s">
        <v>35</v>
      </c>
      <c r="F748" s="20">
        <v>0.35</v>
      </c>
      <c r="G748" s="22">
        <f>C748*F748</f>
        <v>30.099999999999998</v>
      </c>
    </row>
    <row r="749" spans="1:7" ht="15" customHeight="1">
      <c r="A749" s="19" t="s">
        <v>139</v>
      </c>
      <c r="B749" s="20" t="s">
        <v>36</v>
      </c>
      <c r="C749" s="20">
        <v>82</v>
      </c>
      <c r="D749" s="21" t="s">
        <v>59</v>
      </c>
      <c r="E749" s="21" t="s">
        <v>38</v>
      </c>
      <c r="F749" s="20">
        <v>0.35</v>
      </c>
      <c r="G749" s="22">
        <f>C749*F749</f>
        <v>28.7</v>
      </c>
    </row>
    <row r="750" spans="1:7" ht="15" customHeight="1">
      <c r="A750" s="19" t="s">
        <v>140</v>
      </c>
      <c r="B750" s="20" t="s">
        <v>8</v>
      </c>
      <c r="C750" s="20">
        <v>47</v>
      </c>
      <c r="D750" s="21" t="s">
        <v>132</v>
      </c>
      <c r="E750" s="21" t="s">
        <v>10</v>
      </c>
      <c r="F750" s="20">
        <v>0.15</v>
      </c>
      <c r="G750" s="22">
        <f>C750*F750</f>
        <v>7.05</v>
      </c>
    </row>
    <row r="751" spans="1:7" ht="15" customHeight="1">
      <c r="A751" s="19" t="s">
        <v>140</v>
      </c>
      <c r="B751" s="20" t="s">
        <v>11</v>
      </c>
      <c r="C751" s="20">
        <v>49</v>
      </c>
      <c r="D751" s="21" t="s">
        <v>12</v>
      </c>
      <c r="E751" s="21" t="s">
        <v>13</v>
      </c>
      <c r="F751" s="20">
        <v>0.2</v>
      </c>
      <c r="G751" s="22">
        <f>C751*F751</f>
        <v>9.8000000000000007</v>
      </c>
    </row>
    <row r="752" spans="1:7" ht="15" customHeight="1">
      <c r="A752" s="19" t="s">
        <v>140</v>
      </c>
      <c r="B752" s="20" t="s">
        <v>14</v>
      </c>
      <c r="C752" s="20">
        <v>44</v>
      </c>
      <c r="D752" s="21" t="s">
        <v>12</v>
      </c>
      <c r="E752" s="21" t="s">
        <v>13</v>
      </c>
      <c r="F752" s="20">
        <v>0.25</v>
      </c>
      <c r="G752" s="22">
        <f>C752*F752</f>
        <v>11</v>
      </c>
    </row>
    <row r="753" spans="1:7" ht="15" customHeight="1">
      <c r="A753" s="19" t="s">
        <v>140</v>
      </c>
      <c r="B753" s="20" t="s">
        <v>16</v>
      </c>
      <c r="C753" s="20">
        <v>45</v>
      </c>
      <c r="D753" s="21" t="s">
        <v>124</v>
      </c>
      <c r="E753" s="21" t="s">
        <v>18</v>
      </c>
      <c r="F753" s="20">
        <v>0.4</v>
      </c>
      <c r="G753" s="22">
        <f>C753*F753</f>
        <v>18</v>
      </c>
    </row>
    <row r="754" spans="1:7" ht="15" customHeight="1">
      <c r="A754" s="19" t="s">
        <v>140</v>
      </c>
      <c r="B754" s="20" t="s">
        <v>19</v>
      </c>
      <c r="C754" s="20">
        <v>52</v>
      </c>
      <c r="D754" s="21" t="s">
        <v>20</v>
      </c>
      <c r="E754" s="21" t="s">
        <v>21</v>
      </c>
      <c r="F754" s="20">
        <v>0.2</v>
      </c>
      <c r="G754" s="22">
        <f>C754*F754</f>
        <v>10.4</v>
      </c>
    </row>
    <row r="755" spans="1:7" ht="15" customHeight="1">
      <c r="A755" s="19" t="s">
        <v>140</v>
      </c>
      <c r="B755" s="20" t="s">
        <v>22</v>
      </c>
      <c r="C755" s="20">
        <v>54</v>
      </c>
      <c r="D755" s="21" t="s">
        <v>23</v>
      </c>
      <c r="E755" s="21" t="s">
        <v>24</v>
      </c>
      <c r="F755" s="20">
        <v>0.3</v>
      </c>
      <c r="G755" s="22">
        <f>C755*F755</f>
        <v>16.2</v>
      </c>
    </row>
    <row r="756" spans="1:7" ht="15" customHeight="1">
      <c r="A756" s="19" t="s">
        <v>140</v>
      </c>
      <c r="B756" s="20" t="s">
        <v>25</v>
      </c>
      <c r="C756" s="20">
        <v>51</v>
      </c>
      <c r="D756" s="21" t="s">
        <v>50</v>
      </c>
      <c r="E756" s="21" t="s">
        <v>27</v>
      </c>
      <c r="F756" s="20">
        <v>0.5</v>
      </c>
      <c r="G756" s="22">
        <f>C756*F756</f>
        <v>25.5</v>
      </c>
    </row>
    <row r="757" spans="1:7" ht="15" customHeight="1">
      <c r="A757" s="19" t="s">
        <v>140</v>
      </c>
      <c r="B757" s="20" t="s">
        <v>28</v>
      </c>
      <c r="C757" s="20">
        <v>49</v>
      </c>
      <c r="D757" s="21" t="s">
        <v>32</v>
      </c>
      <c r="E757" s="21" t="s">
        <v>30</v>
      </c>
      <c r="F757" s="20">
        <v>0.1</v>
      </c>
      <c r="G757" s="22">
        <f>C757*F757</f>
        <v>4.9000000000000004</v>
      </c>
    </row>
    <row r="758" spans="1:7" ht="15" customHeight="1">
      <c r="A758" s="19" t="s">
        <v>140</v>
      </c>
      <c r="B758" s="20" t="s">
        <v>31</v>
      </c>
      <c r="C758" s="20">
        <v>52</v>
      </c>
      <c r="D758" s="21" t="s">
        <v>29</v>
      </c>
      <c r="E758" s="21" t="s">
        <v>30</v>
      </c>
      <c r="F758" s="20">
        <v>0.2</v>
      </c>
      <c r="G758" s="22">
        <f>C758*F758</f>
        <v>10.4</v>
      </c>
    </row>
    <row r="759" spans="1:7" ht="15" customHeight="1">
      <c r="A759" s="19" t="s">
        <v>140</v>
      </c>
      <c r="B759" s="20" t="s">
        <v>33</v>
      </c>
      <c r="C759" s="20">
        <v>49</v>
      </c>
      <c r="D759" s="21" t="s">
        <v>118</v>
      </c>
      <c r="E759" s="21" t="s">
        <v>35</v>
      </c>
      <c r="F759" s="20">
        <v>0.35</v>
      </c>
      <c r="G759" s="22">
        <f>C759*F759</f>
        <v>17.149999999999999</v>
      </c>
    </row>
    <row r="760" spans="1:7" ht="15" customHeight="1">
      <c r="A760" s="19" t="s">
        <v>140</v>
      </c>
      <c r="B760" s="20" t="s">
        <v>36</v>
      </c>
      <c r="C760" s="20">
        <v>51</v>
      </c>
      <c r="D760" s="21" t="s">
        <v>48</v>
      </c>
      <c r="E760" s="21" t="s">
        <v>38</v>
      </c>
      <c r="F760" s="20">
        <v>0.35</v>
      </c>
      <c r="G760" s="22">
        <f>C760*F760</f>
        <v>17.849999999999998</v>
      </c>
    </row>
    <row r="761" spans="1:7" ht="15" customHeight="1">
      <c r="A761" s="19" t="s">
        <v>141</v>
      </c>
      <c r="B761" s="20" t="s">
        <v>8</v>
      </c>
      <c r="C761" s="20">
        <v>72</v>
      </c>
      <c r="D761" s="21" t="s">
        <v>40</v>
      </c>
      <c r="E761" s="21" t="s">
        <v>10</v>
      </c>
      <c r="F761" s="20">
        <v>0.15</v>
      </c>
      <c r="G761" s="22">
        <f>C761*F761</f>
        <v>10.799999999999999</v>
      </c>
    </row>
    <row r="762" spans="1:7" ht="15" customHeight="1">
      <c r="A762" s="19" t="s">
        <v>141</v>
      </c>
      <c r="B762" s="20" t="s">
        <v>11</v>
      </c>
      <c r="C762" s="20">
        <v>78</v>
      </c>
      <c r="D762" s="21" t="s">
        <v>61</v>
      </c>
      <c r="E762" s="21" t="s">
        <v>13</v>
      </c>
      <c r="F762" s="20">
        <v>0.2</v>
      </c>
      <c r="G762" s="22">
        <f>C762*F762</f>
        <v>15.600000000000001</v>
      </c>
    </row>
    <row r="763" spans="1:7" ht="15" customHeight="1">
      <c r="A763" s="19" t="s">
        <v>141</v>
      </c>
      <c r="B763" s="20" t="s">
        <v>14</v>
      </c>
      <c r="C763" s="20">
        <v>74</v>
      </c>
      <c r="D763" s="21" t="s">
        <v>41</v>
      </c>
      <c r="E763" s="21" t="s">
        <v>13</v>
      </c>
      <c r="F763" s="20">
        <v>0.25</v>
      </c>
      <c r="G763" s="22">
        <f>C763*F763</f>
        <v>18.5</v>
      </c>
    </row>
    <row r="764" spans="1:7" ht="15" customHeight="1">
      <c r="A764" s="19" t="s">
        <v>141</v>
      </c>
      <c r="B764" s="20" t="s">
        <v>16</v>
      </c>
      <c r="C764" s="20">
        <v>75</v>
      </c>
      <c r="D764" s="21" t="s">
        <v>57</v>
      </c>
      <c r="E764" s="21" t="s">
        <v>18</v>
      </c>
      <c r="F764" s="20">
        <v>0.4</v>
      </c>
      <c r="G764" s="22">
        <f>C764*F764</f>
        <v>30</v>
      </c>
    </row>
    <row r="765" spans="1:7" ht="15" customHeight="1">
      <c r="A765" s="19" t="s">
        <v>141</v>
      </c>
      <c r="B765" s="20" t="s">
        <v>19</v>
      </c>
      <c r="C765" s="20">
        <v>74</v>
      </c>
      <c r="D765" s="21" t="s">
        <v>43</v>
      </c>
      <c r="E765" s="21" t="s">
        <v>21</v>
      </c>
      <c r="F765" s="20">
        <v>0.2</v>
      </c>
      <c r="G765" s="22">
        <f>C765*F765</f>
        <v>14.8</v>
      </c>
    </row>
    <row r="766" spans="1:7" ht="15" customHeight="1">
      <c r="A766" s="19" t="s">
        <v>141</v>
      </c>
      <c r="B766" s="20" t="s">
        <v>22</v>
      </c>
      <c r="C766" s="20">
        <v>71</v>
      </c>
      <c r="D766" s="21" t="s">
        <v>44</v>
      </c>
      <c r="E766" s="21" t="s">
        <v>24</v>
      </c>
      <c r="F766" s="20">
        <v>0.3</v>
      </c>
      <c r="G766" s="22">
        <f>C766*F766</f>
        <v>21.3</v>
      </c>
    </row>
    <row r="767" spans="1:7" ht="15" customHeight="1">
      <c r="A767" s="19" t="s">
        <v>141</v>
      </c>
      <c r="B767" s="20" t="s">
        <v>25</v>
      </c>
      <c r="C767" s="20">
        <v>76</v>
      </c>
      <c r="D767" s="21" t="s">
        <v>67</v>
      </c>
      <c r="E767" s="21" t="s">
        <v>27</v>
      </c>
      <c r="F767" s="20">
        <v>0.5</v>
      </c>
      <c r="G767" s="22">
        <f>C767*F767</f>
        <v>38</v>
      </c>
    </row>
    <row r="768" spans="1:7" ht="15" customHeight="1">
      <c r="A768" s="19" t="s">
        <v>141</v>
      </c>
      <c r="B768" s="20" t="s">
        <v>28</v>
      </c>
      <c r="C768" s="20">
        <v>73</v>
      </c>
      <c r="D768" s="21" t="s">
        <v>46</v>
      </c>
      <c r="E768" s="21" t="s">
        <v>30</v>
      </c>
      <c r="F768" s="20">
        <v>0.1</v>
      </c>
      <c r="G768" s="22">
        <f>C768*F768</f>
        <v>7.3000000000000007</v>
      </c>
    </row>
    <row r="769" spans="1:7" ht="15" customHeight="1">
      <c r="A769" s="19" t="s">
        <v>141</v>
      </c>
      <c r="B769" s="20" t="s">
        <v>31</v>
      </c>
      <c r="C769" s="20">
        <v>73</v>
      </c>
      <c r="D769" s="21" t="s">
        <v>46</v>
      </c>
      <c r="E769" s="21" t="s">
        <v>30</v>
      </c>
      <c r="F769" s="20">
        <v>0.2</v>
      </c>
      <c r="G769" s="22">
        <f>C769*F769</f>
        <v>14.600000000000001</v>
      </c>
    </row>
    <row r="770" spans="1:7" ht="15" customHeight="1">
      <c r="A770" s="19" t="s">
        <v>141</v>
      </c>
      <c r="B770" s="20" t="s">
        <v>33</v>
      </c>
      <c r="C770" s="20">
        <v>76</v>
      </c>
      <c r="D770" s="21" t="s">
        <v>63</v>
      </c>
      <c r="E770" s="21" t="s">
        <v>35</v>
      </c>
      <c r="F770" s="20">
        <v>0.35</v>
      </c>
      <c r="G770" s="22">
        <f>C770*F770</f>
        <v>26.599999999999998</v>
      </c>
    </row>
    <row r="771" spans="1:7" ht="15" customHeight="1">
      <c r="A771" s="19" t="s">
        <v>141</v>
      </c>
      <c r="B771" s="20" t="s">
        <v>36</v>
      </c>
      <c r="C771" s="20">
        <v>76</v>
      </c>
      <c r="D771" s="21" t="s">
        <v>59</v>
      </c>
      <c r="E771" s="21" t="s">
        <v>38</v>
      </c>
      <c r="F771" s="20">
        <v>0.35</v>
      </c>
      <c r="G771" s="22">
        <f>C771*F771</f>
        <v>26.599999999999998</v>
      </c>
    </row>
    <row r="772" spans="1:7" ht="15" customHeight="1">
      <c r="A772" s="19" t="s">
        <v>142</v>
      </c>
      <c r="B772" s="20" t="s">
        <v>8</v>
      </c>
      <c r="C772" s="20">
        <v>64</v>
      </c>
      <c r="D772" s="21" t="s">
        <v>9</v>
      </c>
      <c r="E772" s="21" t="s">
        <v>10</v>
      </c>
      <c r="F772" s="20">
        <v>0.15</v>
      </c>
      <c r="G772" s="22">
        <f>C772*F772</f>
        <v>9.6</v>
      </c>
    </row>
    <row r="773" spans="1:7" ht="15" customHeight="1">
      <c r="A773" s="19" t="s">
        <v>142</v>
      </c>
      <c r="B773" s="20" t="s">
        <v>11</v>
      </c>
      <c r="C773" s="20">
        <v>66</v>
      </c>
      <c r="D773" s="21" t="s">
        <v>41</v>
      </c>
      <c r="E773" s="21" t="s">
        <v>13</v>
      </c>
      <c r="F773" s="20">
        <v>0.2</v>
      </c>
      <c r="G773" s="22">
        <f>C773*F773</f>
        <v>13.200000000000001</v>
      </c>
    </row>
    <row r="774" spans="1:7" ht="15" customHeight="1">
      <c r="A774" s="19" t="s">
        <v>142</v>
      </c>
      <c r="B774" s="20" t="s">
        <v>14</v>
      </c>
      <c r="C774" s="20">
        <v>66</v>
      </c>
      <c r="D774" s="21" t="s">
        <v>41</v>
      </c>
      <c r="E774" s="21" t="s">
        <v>13</v>
      </c>
      <c r="F774" s="20">
        <v>0.25</v>
      </c>
      <c r="G774" s="22">
        <f>C774*F774</f>
        <v>16.5</v>
      </c>
    </row>
    <row r="775" spans="1:7" ht="15" customHeight="1">
      <c r="A775" s="19" t="s">
        <v>142</v>
      </c>
      <c r="B775" s="20" t="s">
        <v>16</v>
      </c>
      <c r="C775" s="20">
        <v>69</v>
      </c>
      <c r="D775" s="21" t="s">
        <v>42</v>
      </c>
      <c r="E775" s="21" t="s">
        <v>18</v>
      </c>
      <c r="F775" s="20">
        <v>0.4</v>
      </c>
      <c r="G775" s="22">
        <f>C775*F775</f>
        <v>27.6</v>
      </c>
    </row>
    <row r="776" spans="1:7" ht="15" customHeight="1">
      <c r="A776" s="19" t="s">
        <v>142</v>
      </c>
      <c r="B776" s="20" t="s">
        <v>19</v>
      </c>
      <c r="C776" s="20">
        <v>61</v>
      </c>
      <c r="D776" s="21" t="s">
        <v>20</v>
      </c>
      <c r="E776" s="21" t="s">
        <v>21</v>
      </c>
      <c r="F776" s="20">
        <v>0.2</v>
      </c>
      <c r="G776" s="22">
        <f>C776*F776</f>
        <v>12.200000000000001</v>
      </c>
    </row>
    <row r="777" spans="1:7" ht="15" customHeight="1">
      <c r="A777" s="19" t="s">
        <v>142</v>
      </c>
      <c r="B777" s="20" t="s">
        <v>22</v>
      </c>
      <c r="C777" s="20">
        <v>58</v>
      </c>
      <c r="D777" s="21" t="s">
        <v>23</v>
      </c>
      <c r="E777" s="21" t="s">
        <v>24</v>
      </c>
      <c r="F777" s="20">
        <v>0.3</v>
      </c>
      <c r="G777" s="22">
        <f>C777*F777</f>
        <v>17.399999999999999</v>
      </c>
    </row>
    <row r="778" spans="1:7" ht="15" customHeight="1">
      <c r="A778" s="19" t="s">
        <v>142</v>
      </c>
      <c r="B778" s="20" t="s">
        <v>25</v>
      </c>
      <c r="C778" s="20">
        <v>62</v>
      </c>
      <c r="D778" s="21" t="s">
        <v>50</v>
      </c>
      <c r="E778" s="21" t="s">
        <v>27</v>
      </c>
      <c r="F778" s="20">
        <v>0.5</v>
      </c>
      <c r="G778" s="22">
        <f>C778*F778</f>
        <v>31</v>
      </c>
    </row>
    <row r="779" spans="1:7" ht="15" customHeight="1">
      <c r="A779" s="19" t="s">
        <v>142</v>
      </c>
      <c r="B779" s="20" t="s">
        <v>28</v>
      </c>
      <c r="C779" s="20">
        <v>68</v>
      </c>
      <c r="D779" s="21" t="s">
        <v>46</v>
      </c>
      <c r="E779" s="21" t="s">
        <v>30</v>
      </c>
      <c r="F779" s="20">
        <v>0.1</v>
      </c>
      <c r="G779" s="22">
        <f>C779*F779</f>
        <v>6.8000000000000007</v>
      </c>
    </row>
    <row r="780" spans="1:7" ht="15" customHeight="1">
      <c r="A780" s="19" t="s">
        <v>142</v>
      </c>
      <c r="B780" s="20" t="s">
        <v>31</v>
      </c>
      <c r="C780" s="20">
        <v>68</v>
      </c>
      <c r="D780" s="21" t="s">
        <v>46</v>
      </c>
      <c r="E780" s="21" t="s">
        <v>30</v>
      </c>
      <c r="F780" s="20">
        <v>0.2</v>
      </c>
      <c r="G780" s="22">
        <f>C780*F780</f>
        <v>13.600000000000001</v>
      </c>
    </row>
    <row r="781" spans="1:7" ht="15" customHeight="1">
      <c r="A781" s="19" t="s">
        <v>142</v>
      </c>
      <c r="B781" s="20" t="s">
        <v>33</v>
      </c>
      <c r="C781" s="20">
        <v>69</v>
      </c>
      <c r="D781" s="21" t="s">
        <v>47</v>
      </c>
      <c r="E781" s="21" t="s">
        <v>35</v>
      </c>
      <c r="F781" s="20">
        <v>0.35</v>
      </c>
      <c r="G781" s="22">
        <f>C781*F781</f>
        <v>24.15</v>
      </c>
    </row>
    <row r="782" spans="1:7" ht="15" customHeight="1">
      <c r="A782" s="19" t="s">
        <v>142</v>
      </c>
      <c r="B782" s="20" t="s">
        <v>36</v>
      </c>
      <c r="C782" s="20">
        <v>67</v>
      </c>
      <c r="D782" s="21" t="s">
        <v>51</v>
      </c>
      <c r="E782" s="21" t="s">
        <v>38</v>
      </c>
      <c r="F782" s="20">
        <v>0.35</v>
      </c>
      <c r="G782" s="22">
        <f>C782*F782</f>
        <v>23.45</v>
      </c>
    </row>
    <row r="783" spans="1:7" ht="15" customHeight="1">
      <c r="A783" s="19" t="s">
        <v>143</v>
      </c>
      <c r="B783" s="20" t="s">
        <v>8</v>
      </c>
      <c r="C783" s="20">
        <v>78</v>
      </c>
      <c r="D783" s="21" t="s">
        <v>56</v>
      </c>
      <c r="E783" s="21" t="s">
        <v>10</v>
      </c>
      <c r="F783" s="20">
        <v>0.15</v>
      </c>
      <c r="G783" s="22">
        <f>C783*F783</f>
        <v>11.7</v>
      </c>
    </row>
    <row r="784" spans="1:7" ht="15" customHeight="1">
      <c r="A784" s="19" t="s">
        <v>143</v>
      </c>
      <c r="B784" s="20" t="s">
        <v>11</v>
      </c>
      <c r="C784" s="20">
        <v>79</v>
      </c>
      <c r="D784" s="21" t="s">
        <v>61</v>
      </c>
      <c r="E784" s="21" t="s">
        <v>13</v>
      </c>
      <c r="F784" s="20">
        <v>0.2</v>
      </c>
      <c r="G784" s="22">
        <f>C784*F784</f>
        <v>15.8</v>
      </c>
    </row>
    <row r="785" spans="1:7" ht="15" customHeight="1">
      <c r="A785" s="19" t="s">
        <v>143</v>
      </c>
      <c r="B785" s="20" t="s">
        <v>14</v>
      </c>
      <c r="C785" s="20">
        <v>77</v>
      </c>
      <c r="D785" s="21" t="s">
        <v>61</v>
      </c>
      <c r="E785" s="21" t="s">
        <v>13</v>
      </c>
      <c r="F785" s="20">
        <v>0.25</v>
      </c>
      <c r="G785" s="22">
        <f>C785*F785</f>
        <v>19.25</v>
      </c>
    </row>
    <row r="786" spans="1:7" ht="15" customHeight="1">
      <c r="A786" s="19" t="s">
        <v>143</v>
      </c>
      <c r="B786" s="20" t="s">
        <v>16</v>
      </c>
      <c r="C786" s="20">
        <v>77</v>
      </c>
      <c r="D786" s="21" t="s">
        <v>57</v>
      </c>
      <c r="E786" s="21" t="s">
        <v>18</v>
      </c>
      <c r="F786" s="20">
        <v>0.4</v>
      </c>
      <c r="G786" s="22">
        <f>C786*F786</f>
        <v>30.8</v>
      </c>
    </row>
    <row r="787" spans="1:7" ht="15" customHeight="1">
      <c r="A787" s="19" t="s">
        <v>143</v>
      </c>
      <c r="B787" s="20" t="s">
        <v>19</v>
      </c>
      <c r="C787" s="20">
        <v>71</v>
      </c>
      <c r="D787" s="21" t="s">
        <v>43</v>
      </c>
      <c r="E787" s="21" t="s">
        <v>21</v>
      </c>
      <c r="F787" s="20">
        <v>0.2</v>
      </c>
      <c r="G787" s="22">
        <f>C787*F787</f>
        <v>14.200000000000001</v>
      </c>
    </row>
    <row r="788" spans="1:7" ht="15" customHeight="1">
      <c r="A788" s="19" t="s">
        <v>143</v>
      </c>
      <c r="B788" s="20" t="s">
        <v>22</v>
      </c>
      <c r="C788" s="20">
        <v>70</v>
      </c>
      <c r="D788" s="21" t="s">
        <v>44</v>
      </c>
      <c r="E788" s="21" t="s">
        <v>24</v>
      </c>
      <c r="F788" s="20">
        <v>0.3</v>
      </c>
      <c r="G788" s="22">
        <f>C788*F788</f>
        <v>21</v>
      </c>
    </row>
    <row r="789" spans="1:7" ht="15" customHeight="1">
      <c r="A789" s="19" t="s">
        <v>143</v>
      </c>
      <c r="B789" s="20" t="s">
        <v>25</v>
      </c>
      <c r="C789" s="20">
        <v>76</v>
      </c>
      <c r="D789" s="21" t="s">
        <v>67</v>
      </c>
      <c r="E789" s="21" t="s">
        <v>27</v>
      </c>
      <c r="F789" s="20">
        <v>0.5</v>
      </c>
      <c r="G789" s="22">
        <f>C789*F789</f>
        <v>38</v>
      </c>
    </row>
    <row r="790" spans="1:7" ht="15" customHeight="1">
      <c r="A790" s="19" t="s">
        <v>143</v>
      </c>
      <c r="B790" s="20" t="s">
        <v>28</v>
      </c>
      <c r="C790" s="20">
        <v>73</v>
      </c>
      <c r="D790" s="21" t="s">
        <v>46</v>
      </c>
      <c r="E790" s="21" t="s">
        <v>30</v>
      </c>
      <c r="F790" s="20">
        <v>0.1</v>
      </c>
      <c r="G790" s="22">
        <f>C790*F790</f>
        <v>7.3000000000000007</v>
      </c>
    </row>
    <row r="791" spans="1:7" ht="15" customHeight="1">
      <c r="A791" s="19" t="s">
        <v>143</v>
      </c>
      <c r="B791" s="20" t="s">
        <v>31</v>
      </c>
      <c r="C791" s="20">
        <v>76</v>
      </c>
      <c r="D791" s="21" t="s">
        <v>62</v>
      </c>
      <c r="E791" s="21" t="s">
        <v>30</v>
      </c>
      <c r="F791" s="20">
        <v>0.2</v>
      </c>
      <c r="G791" s="22">
        <f>C791*F791</f>
        <v>15.200000000000001</v>
      </c>
    </row>
    <row r="792" spans="1:7" ht="15" customHeight="1">
      <c r="A792" s="19" t="s">
        <v>143</v>
      </c>
      <c r="B792" s="20" t="s">
        <v>33</v>
      </c>
      <c r="C792" s="20">
        <v>75</v>
      </c>
      <c r="D792" s="21" t="s">
        <v>63</v>
      </c>
      <c r="E792" s="21" t="s">
        <v>35</v>
      </c>
      <c r="F792" s="20">
        <v>0.35</v>
      </c>
      <c r="G792" s="22">
        <f>C792*F792</f>
        <v>26.25</v>
      </c>
    </row>
    <row r="793" spans="1:7" ht="15" customHeight="1">
      <c r="A793" s="19" t="s">
        <v>143</v>
      </c>
      <c r="B793" s="20" t="s">
        <v>36</v>
      </c>
      <c r="C793" s="20">
        <v>70</v>
      </c>
      <c r="D793" s="21" t="s">
        <v>51</v>
      </c>
      <c r="E793" s="21" t="s">
        <v>38</v>
      </c>
      <c r="F793" s="20">
        <v>0.35</v>
      </c>
      <c r="G793" s="22">
        <f>C793*F793</f>
        <v>24.5</v>
      </c>
    </row>
    <row r="794" spans="1:7" ht="15" customHeight="1">
      <c r="A794" s="19" t="s">
        <v>144</v>
      </c>
      <c r="B794" s="20" t="s">
        <v>8</v>
      </c>
      <c r="C794" s="20">
        <v>73</v>
      </c>
      <c r="D794" s="21" t="s">
        <v>40</v>
      </c>
      <c r="E794" s="21" t="s">
        <v>10</v>
      </c>
      <c r="F794" s="20">
        <v>0.15</v>
      </c>
      <c r="G794" s="22">
        <f>C794*F794</f>
        <v>10.95</v>
      </c>
    </row>
    <row r="795" spans="1:7" ht="15" customHeight="1">
      <c r="A795" s="19" t="s">
        <v>144</v>
      </c>
      <c r="B795" s="20" t="s">
        <v>11</v>
      </c>
      <c r="C795" s="20">
        <v>74</v>
      </c>
      <c r="D795" s="21" t="s">
        <v>41</v>
      </c>
      <c r="E795" s="21" t="s">
        <v>13</v>
      </c>
      <c r="F795" s="20">
        <v>0.2</v>
      </c>
      <c r="G795" s="22">
        <f>C795*F795</f>
        <v>14.8</v>
      </c>
    </row>
    <row r="796" spans="1:7" ht="15" customHeight="1">
      <c r="A796" s="19" t="s">
        <v>144</v>
      </c>
      <c r="B796" s="20" t="s">
        <v>14</v>
      </c>
      <c r="C796" s="20">
        <v>73</v>
      </c>
      <c r="D796" s="21" t="s">
        <v>41</v>
      </c>
      <c r="E796" s="21" t="s">
        <v>13</v>
      </c>
      <c r="F796" s="20">
        <v>0.25</v>
      </c>
      <c r="G796" s="22">
        <f>C796*F796</f>
        <v>18.25</v>
      </c>
    </row>
    <row r="797" spans="1:7" ht="15" customHeight="1">
      <c r="A797" s="19" t="s">
        <v>144</v>
      </c>
      <c r="B797" s="20" t="s">
        <v>16</v>
      </c>
      <c r="C797" s="20">
        <v>74</v>
      </c>
      <c r="D797" s="21" t="s">
        <v>42</v>
      </c>
      <c r="E797" s="21" t="s">
        <v>18</v>
      </c>
      <c r="F797" s="20">
        <v>0.4</v>
      </c>
      <c r="G797" s="22">
        <f>C797*F797</f>
        <v>29.6</v>
      </c>
    </row>
    <row r="798" spans="1:7" ht="15" customHeight="1">
      <c r="A798" s="19" t="s">
        <v>144</v>
      </c>
      <c r="B798" s="20" t="s">
        <v>19</v>
      </c>
      <c r="C798" s="20">
        <v>72</v>
      </c>
      <c r="D798" s="21" t="s">
        <v>43</v>
      </c>
      <c r="E798" s="21" t="s">
        <v>21</v>
      </c>
      <c r="F798" s="20">
        <v>0.2</v>
      </c>
      <c r="G798" s="22">
        <f>C798*F798</f>
        <v>14.4</v>
      </c>
    </row>
    <row r="799" spans="1:7" ht="15" customHeight="1">
      <c r="A799" s="19" t="s">
        <v>144</v>
      </c>
      <c r="B799" s="20" t="s">
        <v>22</v>
      </c>
      <c r="C799" s="20">
        <v>68</v>
      </c>
      <c r="D799" s="21" t="s">
        <v>44</v>
      </c>
      <c r="E799" s="21" t="s">
        <v>24</v>
      </c>
      <c r="F799" s="20">
        <v>0.3</v>
      </c>
      <c r="G799" s="22">
        <f>C799*F799</f>
        <v>20.399999999999999</v>
      </c>
    </row>
    <row r="800" spans="1:7" ht="15" customHeight="1">
      <c r="A800" s="19" t="s">
        <v>144</v>
      </c>
      <c r="B800" s="20" t="s">
        <v>25</v>
      </c>
      <c r="C800" s="20">
        <v>72</v>
      </c>
      <c r="D800" s="21" t="s">
        <v>45</v>
      </c>
      <c r="E800" s="21" t="s">
        <v>27</v>
      </c>
      <c r="F800" s="20">
        <v>0.5</v>
      </c>
      <c r="G800" s="22">
        <f>C800*F800</f>
        <v>36</v>
      </c>
    </row>
    <row r="801" spans="1:7" ht="15" customHeight="1">
      <c r="A801" s="19" t="s">
        <v>144</v>
      </c>
      <c r="B801" s="20" t="s">
        <v>28</v>
      </c>
      <c r="C801" s="20">
        <v>71</v>
      </c>
      <c r="D801" s="21" t="s">
        <v>46</v>
      </c>
      <c r="E801" s="21" t="s">
        <v>30</v>
      </c>
      <c r="F801" s="20">
        <v>0.1</v>
      </c>
      <c r="G801" s="22">
        <f>C801*F801</f>
        <v>7.1000000000000005</v>
      </c>
    </row>
    <row r="802" spans="1:7" ht="15" customHeight="1">
      <c r="A802" s="19" t="s">
        <v>144</v>
      </c>
      <c r="B802" s="20" t="s">
        <v>31</v>
      </c>
      <c r="C802" s="20">
        <v>72</v>
      </c>
      <c r="D802" s="21" t="s">
        <v>46</v>
      </c>
      <c r="E802" s="21" t="s">
        <v>30</v>
      </c>
      <c r="F802" s="20">
        <v>0.2</v>
      </c>
      <c r="G802" s="22">
        <f>C802*F802</f>
        <v>14.4</v>
      </c>
    </row>
    <row r="803" spans="1:7" ht="15" customHeight="1">
      <c r="A803" s="19" t="s">
        <v>144</v>
      </c>
      <c r="B803" s="20" t="s">
        <v>33</v>
      </c>
      <c r="C803" s="20">
        <v>70</v>
      </c>
      <c r="D803" s="21" t="s">
        <v>47</v>
      </c>
      <c r="E803" s="21" t="s">
        <v>35</v>
      </c>
      <c r="F803" s="20">
        <v>0.35</v>
      </c>
      <c r="G803" s="22">
        <f>C803*F803</f>
        <v>24.5</v>
      </c>
    </row>
    <row r="804" spans="1:7" ht="15" customHeight="1">
      <c r="A804" s="19" t="s">
        <v>144</v>
      </c>
      <c r="B804" s="20" t="s">
        <v>36</v>
      </c>
      <c r="C804" s="20">
        <v>73</v>
      </c>
      <c r="D804" s="21" t="s">
        <v>51</v>
      </c>
      <c r="E804" s="21" t="s">
        <v>38</v>
      </c>
      <c r="F804" s="20">
        <v>0.35</v>
      </c>
      <c r="G804" s="22">
        <f>C804*F804</f>
        <v>25.549999999999997</v>
      </c>
    </row>
    <row r="805" spans="1:7" ht="15" customHeight="1">
      <c r="A805" s="19" t="s">
        <v>145</v>
      </c>
      <c r="B805" s="20" t="s">
        <v>8</v>
      </c>
      <c r="C805" s="20">
        <v>50</v>
      </c>
      <c r="D805" s="21" t="s">
        <v>9</v>
      </c>
      <c r="E805" s="21" t="s">
        <v>10</v>
      </c>
      <c r="F805" s="20">
        <v>0.15</v>
      </c>
      <c r="G805" s="22">
        <f>C805*F805</f>
        <v>7.5</v>
      </c>
    </row>
    <row r="806" spans="1:7" ht="15" customHeight="1">
      <c r="A806" s="19" t="s">
        <v>145</v>
      </c>
      <c r="B806" s="20" t="s">
        <v>11</v>
      </c>
      <c r="C806" s="20">
        <v>53</v>
      </c>
      <c r="D806" s="21" t="s">
        <v>15</v>
      </c>
      <c r="E806" s="21" t="s">
        <v>13</v>
      </c>
      <c r="F806" s="20">
        <v>0.2</v>
      </c>
      <c r="G806" s="22">
        <f>C806*F806</f>
        <v>10.600000000000001</v>
      </c>
    </row>
    <row r="807" spans="1:7" ht="15" customHeight="1">
      <c r="A807" s="19" t="s">
        <v>145</v>
      </c>
      <c r="B807" s="20" t="s">
        <v>14</v>
      </c>
      <c r="C807" s="20">
        <v>49</v>
      </c>
      <c r="D807" s="21" t="s">
        <v>12</v>
      </c>
      <c r="E807" s="21" t="s">
        <v>13</v>
      </c>
      <c r="F807" s="20">
        <v>0.25</v>
      </c>
      <c r="G807" s="22">
        <f>C807*F807</f>
        <v>12.25</v>
      </c>
    </row>
    <row r="808" spans="1:7" ht="15" customHeight="1">
      <c r="A808" s="19" t="s">
        <v>145</v>
      </c>
      <c r="B808" s="20" t="s">
        <v>16</v>
      </c>
      <c r="C808" s="20">
        <v>48</v>
      </c>
      <c r="D808" s="21" t="s">
        <v>124</v>
      </c>
      <c r="E808" s="21" t="s">
        <v>18</v>
      </c>
      <c r="F808" s="20">
        <v>0.4</v>
      </c>
      <c r="G808" s="22">
        <f>C808*F808</f>
        <v>19.200000000000003</v>
      </c>
    </row>
    <row r="809" spans="1:7" ht="15" customHeight="1">
      <c r="A809" s="19" t="s">
        <v>145</v>
      </c>
      <c r="B809" s="20" t="s">
        <v>19</v>
      </c>
      <c r="C809" s="20">
        <v>56</v>
      </c>
      <c r="D809" s="21" t="s">
        <v>20</v>
      </c>
      <c r="E809" s="21" t="s">
        <v>21</v>
      </c>
      <c r="F809" s="20">
        <v>0.2</v>
      </c>
      <c r="G809" s="22">
        <f>C809*F809</f>
        <v>11.200000000000001</v>
      </c>
    </row>
    <row r="810" spans="1:7" ht="15" customHeight="1">
      <c r="A810" s="19" t="s">
        <v>145</v>
      </c>
      <c r="B810" s="20" t="s">
        <v>22</v>
      </c>
      <c r="C810" s="20">
        <v>55</v>
      </c>
      <c r="D810" s="21" t="s">
        <v>23</v>
      </c>
      <c r="E810" s="21" t="s">
        <v>24</v>
      </c>
      <c r="F810" s="20">
        <v>0.3</v>
      </c>
      <c r="G810" s="22">
        <f>C810*F810</f>
        <v>16.5</v>
      </c>
    </row>
    <row r="811" spans="1:7" ht="15" customHeight="1">
      <c r="A811" s="19" t="s">
        <v>145</v>
      </c>
      <c r="B811" s="20" t="s">
        <v>25</v>
      </c>
      <c r="C811" s="20">
        <v>55</v>
      </c>
      <c r="D811" s="21" t="s">
        <v>50</v>
      </c>
      <c r="E811" s="21" t="s">
        <v>27</v>
      </c>
      <c r="F811" s="20">
        <v>0.5</v>
      </c>
      <c r="G811" s="22">
        <f>C811*F811</f>
        <v>27.5</v>
      </c>
    </row>
    <row r="812" spans="1:7" ht="15" customHeight="1">
      <c r="A812" s="19" t="s">
        <v>145</v>
      </c>
      <c r="B812" s="20" t="s">
        <v>28</v>
      </c>
      <c r="C812" s="20">
        <v>51</v>
      </c>
      <c r="D812" s="21" t="s">
        <v>29</v>
      </c>
      <c r="E812" s="21" t="s">
        <v>30</v>
      </c>
      <c r="F812" s="20">
        <v>0.1</v>
      </c>
      <c r="G812" s="22">
        <f>C812*F812</f>
        <v>5.1000000000000005</v>
      </c>
    </row>
    <row r="813" spans="1:7" ht="15" customHeight="1">
      <c r="A813" s="19" t="s">
        <v>145</v>
      </c>
      <c r="B813" s="20" t="s">
        <v>31</v>
      </c>
      <c r="C813" s="20">
        <v>48</v>
      </c>
      <c r="D813" s="21" t="s">
        <v>32</v>
      </c>
      <c r="E813" s="21" t="s">
        <v>30</v>
      </c>
      <c r="F813" s="20">
        <v>0.2</v>
      </c>
      <c r="G813" s="22">
        <f>C813*F813</f>
        <v>9.6000000000000014</v>
      </c>
    </row>
    <row r="814" spans="1:7" ht="15" customHeight="1">
      <c r="A814" s="19" t="s">
        <v>145</v>
      </c>
      <c r="B814" s="20" t="s">
        <v>33</v>
      </c>
      <c r="C814" s="20">
        <v>51</v>
      </c>
      <c r="D814" s="21" t="s">
        <v>34</v>
      </c>
      <c r="E814" s="21" t="s">
        <v>35</v>
      </c>
      <c r="F814" s="20">
        <v>0.35</v>
      </c>
      <c r="G814" s="22">
        <f>C814*F814</f>
        <v>17.849999999999998</v>
      </c>
    </row>
    <row r="815" spans="1:7" ht="15" customHeight="1">
      <c r="A815" s="19" t="s">
        <v>145</v>
      </c>
      <c r="B815" s="20" t="s">
        <v>36</v>
      </c>
      <c r="C815" s="20">
        <v>47</v>
      </c>
      <c r="D815" s="21" t="s">
        <v>37</v>
      </c>
      <c r="E815" s="21" t="s">
        <v>38</v>
      </c>
      <c r="F815" s="20">
        <v>0.35</v>
      </c>
      <c r="G815" s="22">
        <f>C815*F815</f>
        <v>16.45</v>
      </c>
    </row>
    <row r="816" spans="1:7" ht="15" customHeight="1">
      <c r="A816" s="19" t="s">
        <v>146</v>
      </c>
      <c r="B816" s="20" t="s">
        <v>8</v>
      </c>
      <c r="C816" s="20">
        <v>71</v>
      </c>
      <c r="D816" s="21" t="s">
        <v>40</v>
      </c>
      <c r="E816" s="21" t="s">
        <v>10</v>
      </c>
      <c r="F816" s="20">
        <v>0.15</v>
      </c>
      <c r="G816" s="22">
        <f>C816*F816</f>
        <v>10.65</v>
      </c>
    </row>
    <row r="817" spans="1:7" ht="15" customHeight="1">
      <c r="A817" s="19" t="s">
        <v>146</v>
      </c>
      <c r="B817" s="20" t="s">
        <v>11</v>
      </c>
      <c r="C817" s="20">
        <v>73</v>
      </c>
      <c r="D817" s="21" t="s">
        <v>41</v>
      </c>
      <c r="E817" s="21" t="s">
        <v>13</v>
      </c>
      <c r="F817" s="20">
        <v>0.2</v>
      </c>
      <c r="G817" s="22">
        <f>C817*F817</f>
        <v>14.600000000000001</v>
      </c>
    </row>
    <row r="818" spans="1:7" ht="15" customHeight="1">
      <c r="A818" s="19" t="s">
        <v>146</v>
      </c>
      <c r="B818" s="20" t="s">
        <v>14</v>
      </c>
      <c r="C818" s="20">
        <v>74</v>
      </c>
      <c r="D818" s="21" t="s">
        <v>41</v>
      </c>
      <c r="E818" s="21" t="s">
        <v>13</v>
      </c>
      <c r="F818" s="20">
        <v>0.25</v>
      </c>
      <c r="G818" s="22">
        <f>C818*F818</f>
        <v>18.5</v>
      </c>
    </row>
    <row r="819" spans="1:7" ht="15" customHeight="1">
      <c r="A819" s="19" t="s">
        <v>146</v>
      </c>
      <c r="B819" s="20" t="s">
        <v>16</v>
      </c>
      <c r="C819" s="20">
        <v>71</v>
      </c>
      <c r="D819" s="21" t="s">
        <v>42</v>
      </c>
      <c r="E819" s="21" t="s">
        <v>18</v>
      </c>
      <c r="F819" s="20">
        <v>0.4</v>
      </c>
      <c r="G819" s="22">
        <f>C819*F819</f>
        <v>28.400000000000002</v>
      </c>
    </row>
    <row r="820" spans="1:7" ht="15" customHeight="1">
      <c r="A820" s="19" t="s">
        <v>146</v>
      </c>
      <c r="B820" s="20" t="s">
        <v>19</v>
      </c>
      <c r="C820" s="20">
        <v>73</v>
      </c>
      <c r="D820" s="21" t="s">
        <v>43</v>
      </c>
      <c r="E820" s="21" t="s">
        <v>21</v>
      </c>
      <c r="F820" s="20">
        <v>0.2</v>
      </c>
      <c r="G820" s="22">
        <f>C820*F820</f>
        <v>14.600000000000001</v>
      </c>
    </row>
    <row r="821" spans="1:7" ht="15" customHeight="1">
      <c r="A821" s="19" t="s">
        <v>146</v>
      </c>
      <c r="B821" s="20" t="s">
        <v>22</v>
      </c>
      <c r="C821" s="20">
        <v>72</v>
      </c>
      <c r="D821" s="21" t="s">
        <v>44</v>
      </c>
      <c r="E821" s="21" t="s">
        <v>24</v>
      </c>
      <c r="F821" s="20">
        <v>0.3</v>
      </c>
      <c r="G821" s="22">
        <f>C821*F821</f>
        <v>21.599999999999998</v>
      </c>
    </row>
    <row r="822" spans="1:7" ht="15" customHeight="1">
      <c r="A822" s="19" t="s">
        <v>146</v>
      </c>
      <c r="B822" s="20" t="s">
        <v>25</v>
      </c>
      <c r="C822" s="20">
        <v>75</v>
      </c>
      <c r="D822" s="21" t="s">
        <v>67</v>
      </c>
      <c r="E822" s="21" t="s">
        <v>27</v>
      </c>
      <c r="F822" s="20">
        <v>0.5</v>
      </c>
      <c r="G822" s="22">
        <f>C822*F822</f>
        <v>37.5</v>
      </c>
    </row>
    <row r="823" spans="1:7" ht="15" customHeight="1">
      <c r="A823" s="19" t="s">
        <v>146</v>
      </c>
      <c r="B823" s="20" t="s">
        <v>28</v>
      </c>
      <c r="C823" s="20">
        <v>77</v>
      </c>
      <c r="D823" s="21" t="s">
        <v>62</v>
      </c>
      <c r="E823" s="21" t="s">
        <v>30</v>
      </c>
      <c r="F823" s="20">
        <v>0.1</v>
      </c>
      <c r="G823" s="22">
        <f>C823*F823</f>
        <v>7.7</v>
      </c>
    </row>
    <row r="824" spans="1:7" ht="15" customHeight="1">
      <c r="A824" s="19" t="s">
        <v>146</v>
      </c>
      <c r="B824" s="20" t="s">
        <v>31</v>
      </c>
      <c r="C824" s="20">
        <v>82</v>
      </c>
      <c r="D824" s="21" t="s">
        <v>62</v>
      </c>
      <c r="E824" s="21" t="s">
        <v>30</v>
      </c>
      <c r="F824" s="20">
        <v>0.2</v>
      </c>
      <c r="G824" s="22">
        <f>C824*F824</f>
        <v>16.400000000000002</v>
      </c>
    </row>
    <row r="825" spans="1:7" ht="15" customHeight="1">
      <c r="A825" s="19" t="s">
        <v>146</v>
      </c>
      <c r="B825" s="20" t="s">
        <v>33</v>
      </c>
      <c r="C825" s="20">
        <v>79</v>
      </c>
      <c r="D825" s="21" t="s">
        <v>63</v>
      </c>
      <c r="E825" s="21" t="s">
        <v>35</v>
      </c>
      <c r="F825" s="20">
        <v>0.35</v>
      </c>
      <c r="G825" s="22">
        <f>C825*F825</f>
        <v>27.65</v>
      </c>
    </row>
    <row r="826" spans="1:7" ht="15" customHeight="1">
      <c r="A826" s="19" t="s">
        <v>146</v>
      </c>
      <c r="B826" s="20" t="s">
        <v>36</v>
      </c>
      <c r="C826" s="20">
        <v>78</v>
      </c>
      <c r="D826" s="21" t="s">
        <v>59</v>
      </c>
      <c r="E826" s="21" t="s">
        <v>38</v>
      </c>
      <c r="F826" s="20">
        <v>0.35</v>
      </c>
      <c r="G826" s="22">
        <f>C826*F826</f>
        <v>27.299999999999997</v>
      </c>
    </row>
    <row r="827" spans="1:7" ht="15" customHeight="1">
      <c r="A827" s="19" t="s">
        <v>147</v>
      </c>
      <c r="B827" s="20" t="s">
        <v>8</v>
      </c>
      <c r="C827" s="20">
        <v>69</v>
      </c>
      <c r="D827" s="21" t="s">
        <v>40</v>
      </c>
      <c r="E827" s="21" t="s">
        <v>10</v>
      </c>
      <c r="F827" s="20">
        <v>0.15</v>
      </c>
      <c r="G827" s="22">
        <f>C827*F827</f>
        <v>10.35</v>
      </c>
    </row>
    <row r="828" spans="1:7" ht="15" customHeight="1">
      <c r="A828" s="19" t="s">
        <v>147</v>
      </c>
      <c r="B828" s="20" t="s">
        <v>11</v>
      </c>
      <c r="C828" s="20">
        <v>71</v>
      </c>
      <c r="D828" s="21" t="s">
        <v>41</v>
      </c>
      <c r="E828" s="21" t="s">
        <v>13</v>
      </c>
      <c r="F828" s="20">
        <v>0.2</v>
      </c>
      <c r="G828" s="22">
        <f>C828*F828</f>
        <v>14.200000000000001</v>
      </c>
    </row>
    <row r="829" spans="1:7" ht="15" customHeight="1">
      <c r="A829" s="19" t="s">
        <v>147</v>
      </c>
      <c r="B829" s="20" t="s">
        <v>14</v>
      </c>
      <c r="C829" s="20">
        <v>65</v>
      </c>
      <c r="D829" s="21" t="s">
        <v>41</v>
      </c>
      <c r="E829" s="21" t="s">
        <v>13</v>
      </c>
      <c r="F829" s="20">
        <v>0.25</v>
      </c>
      <c r="G829" s="22">
        <f>C829*F829</f>
        <v>16.25</v>
      </c>
    </row>
    <row r="830" spans="1:7" ht="15" customHeight="1">
      <c r="A830" s="19" t="s">
        <v>147</v>
      </c>
      <c r="B830" s="20" t="s">
        <v>16</v>
      </c>
      <c r="C830" s="20">
        <v>69</v>
      </c>
      <c r="D830" s="21" t="s">
        <v>42</v>
      </c>
      <c r="E830" s="21" t="s">
        <v>18</v>
      </c>
      <c r="F830" s="20">
        <v>0.4</v>
      </c>
      <c r="G830" s="22">
        <f>C830*F830</f>
        <v>27.6</v>
      </c>
    </row>
    <row r="831" spans="1:7" ht="15" customHeight="1">
      <c r="A831" s="19" t="s">
        <v>147</v>
      </c>
      <c r="B831" s="20" t="s">
        <v>19</v>
      </c>
      <c r="C831" s="20">
        <v>71</v>
      </c>
      <c r="D831" s="21" t="s">
        <v>43</v>
      </c>
      <c r="E831" s="21" t="s">
        <v>21</v>
      </c>
      <c r="F831" s="20">
        <v>0.2</v>
      </c>
      <c r="G831" s="22">
        <f>C831*F831</f>
        <v>14.200000000000001</v>
      </c>
    </row>
    <row r="832" spans="1:7" ht="15" customHeight="1">
      <c r="A832" s="19" t="s">
        <v>147</v>
      </c>
      <c r="B832" s="20" t="s">
        <v>22</v>
      </c>
      <c r="C832" s="20">
        <v>70</v>
      </c>
      <c r="D832" s="21" t="s">
        <v>44</v>
      </c>
      <c r="E832" s="21" t="s">
        <v>24</v>
      </c>
      <c r="F832" s="20">
        <v>0.3</v>
      </c>
      <c r="G832" s="22">
        <f>C832*F832</f>
        <v>21</v>
      </c>
    </row>
    <row r="833" spans="1:7" ht="15" customHeight="1">
      <c r="A833" s="19" t="s">
        <v>147</v>
      </c>
      <c r="B833" s="20" t="s">
        <v>25</v>
      </c>
      <c r="C833" s="20">
        <v>66</v>
      </c>
      <c r="D833" s="21" t="s">
        <v>45</v>
      </c>
      <c r="E833" s="21" t="s">
        <v>27</v>
      </c>
      <c r="F833" s="20">
        <v>0.5</v>
      </c>
      <c r="G833" s="22">
        <f>C833*F833</f>
        <v>33</v>
      </c>
    </row>
    <row r="834" spans="1:7" ht="15" customHeight="1">
      <c r="A834" s="19" t="s">
        <v>147</v>
      </c>
      <c r="B834" s="20" t="s">
        <v>28</v>
      </c>
      <c r="C834" s="20">
        <v>71</v>
      </c>
      <c r="D834" s="21" t="s">
        <v>46</v>
      </c>
      <c r="E834" s="21" t="s">
        <v>30</v>
      </c>
      <c r="F834" s="20">
        <v>0.1</v>
      </c>
      <c r="G834" s="22">
        <f>C834*F834</f>
        <v>7.1000000000000005</v>
      </c>
    </row>
    <row r="835" spans="1:7" ht="15" customHeight="1">
      <c r="A835" s="19" t="s">
        <v>147</v>
      </c>
      <c r="B835" s="20" t="s">
        <v>31</v>
      </c>
      <c r="C835" s="20">
        <v>73</v>
      </c>
      <c r="D835" s="21" t="s">
        <v>46</v>
      </c>
      <c r="E835" s="21" t="s">
        <v>30</v>
      </c>
      <c r="F835" s="20">
        <v>0.2</v>
      </c>
      <c r="G835" s="22">
        <f>C835*F835</f>
        <v>14.600000000000001</v>
      </c>
    </row>
    <row r="836" spans="1:7" ht="15" customHeight="1">
      <c r="A836" s="19" t="s">
        <v>147</v>
      </c>
      <c r="B836" s="20" t="s">
        <v>33</v>
      </c>
      <c r="C836" s="20">
        <v>71</v>
      </c>
      <c r="D836" s="21" t="s">
        <v>47</v>
      </c>
      <c r="E836" s="21" t="s">
        <v>35</v>
      </c>
      <c r="F836" s="20">
        <v>0.35</v>
      </c>
      <c r="G836" s="22">
        <f>C836*F836</f>
        <v>24.849999999999998</v>
      </c>
    </row>
    <row r="837" spans="1:7" ht="15" customHeight="1">
      <c r="A837" s="19" t="s">
        <v>147</v>
      </c>
      <c r="B837" s="20" t="s">
        <v>36</v>
      </c>
      <c r="C837" s="20">
        <v>70</v>
      </c>
      <c r="D837" s="21" t="s">
        <v>51</v>
      </c>
      <c r="E837" s="21" t="s">
        <v>38</v>
      </c>
      <c r="F837" s="20">
        <v>0.35</v>
      </c>
      <c r="G837" s="22">
        <f>C837*F837</f>
        <v>24.5</v>
      </c>
    </row>
    <row r="838" spans="1:7" ht="15" customHeight="1">
      <c r="A838" s="19" t="s">
        <v>148</v>
      </c>
      <c r="B838" s="20" t="s">
        <v>8</v>
      </c>
      <c r="C838" s="20">
        <v>71</v>
      </c>
      <c r="D838" s="21" t="s">
        <v>40</v>
      </c>
      <c r="E838" s="21" t="s">
        <v>10</v>
      </c>
      <c r="F838" s="20">
        <v>0.15</v>
      </c>
      <c r="G838" s="22">
        <f>C838*F838</f>
        <v>10.65</v>
      </c>
    </row>
    <row r="839" spans="1:7" ht="15" customHeight="1">
      <c r="A839" s="19" t="s">
        <v>148</v>
      </c>
      <c r="B839" s="20" t="s">
        <v>11</v>
      </c>
      <c r="C839" s="20">
        <v>68</v>
      </c>
      <c r="D839" s="21" t="s">
        <v>41</v>
      </c>
      <c r="E839" s="21" t="s">
        <v>13</v>
      </c>
      <c r="F839" s="20">
        <v>0.2</v>
      </c>
      <c r="G839" s="22">
        <f>C839*F839</f>
        <v>13.600000000000001</v>
      </c>
    </row>
    <row r="840" spans="1:7" ht="15" customHeight="1">
      <c r="A840" s="19" t="s">
        <v>148</v>
      </c>
      <c r="B840" s="20" t="s">
        <v>14</v>
      </c>
      <c r="C840" s="20">
        <v>72</v>
      </c>
      <c r="D840" s="21" t="s">
        <v>41</v>
      </c>
      <c r="E840" s="21" t="s">
        <v>13</v>
      </c>
      <c r="F840" s="20">
        <v>0.25</v>
      </c>
      <c r="G840" s="22">
        <f>C840*F840</f>
        <v>18</v>
      </c>
    </row>
    <row r="841" spans="1:7" ht="15" customHeight="1">
      <c r="A841" s="19" t="s">
        <v>148</v>
      </c>
      <c r="B841" s="20" t="s">
        <v>16</v>
      </c>
      <c r="C841" s="20">
        <v>67</v>
      </c>
      <c r="D841" s="21" t="s">
        <v>42</v>
      </c>
      <c r="E841" s="21" t="s">
        <v>18</v>
      </c>
      <c r="F841" s="20">
        <v>0.4</v>
      </c>
      <c r="G841" s="22">
        <f>C841*F841</f>
        <v>26.8</v>
      </c>
    </row>
    <row r="842" spans="1:7" ht="15" customHeight="1">
      <c r="A842" s="19" t="s">
        <v>148</v>
      </c>
      <c r="B842" s="20" t="s">
        <v>19</v>
      </c>
      <c r="C842" s="20">
        <v>69</v>
      </c>
      <c r="D842" s="21" t="s">
        <v>43</v>
      </c>
      <c r="E842" s="21" t="s">
        <v>21</v>
      </c>
      <c r="F842" s="20">
        <v>0.2</v>
      </c>
      <c r="G842" s="22">
        <f>C842*F842</f>
        <v>13.8</v>
      </c>
    </row>
    <row r="843" spans="1:7" ht="15" customHeight="1">
      <c r="A843" s="19" t="s">
        <v>148</v>
      </c>
      <c r="B843" s="20" t="s">
        <v>22</v>
      </c>
      <c r="C843" s="20">
        <v>69</v>
      </c>
      <c r="D843" s="21" t="s">
        <v>44</v>
      </c>
      <c r="E843" s="21" t="s">
        <v>24</v>
      </c>
      <c r="F843" s="20">
        <v>0.3</v>
      </c>
      <c r="G843" s="22">
        <f>C843*F843</f>
        <v>20.7</v>
      </c>
    </row>
    <row r="844" spans="1:7" ht="15" customHeight="1">
      <c r="A844" s="19" t="s">
        <v>148</v>
      </c>
      <c r="B844" s="20" t="s">
        <v>25</v>
      </c>
      <c r="C844" s="20">
        <v>70</v>
      </c>
      <c r="D844" s="21" t="s">
        <v>45</v>
      </c>
      <c r="E844" s="21" t="s">
        <v>27</v>
      </c>
      <c r="F844" s="20">
        <v>0.5</v>
      </c>
      <c r="G844" s="22">
        <f>C844*F844</f>
        <v>35</v>
      </c>
    </row>
    <row r="845" spans="1:7" ht="15" customHeight="1">
      <c r="A845" s="19" t="s">
        <v>148</v>
      </c>
      <c r="B845" s="20" t="s">
        <v>28</v>
      </c>
      <c r="C845" s="20">
        <v>75</v>
      </c>
      <c r="D845" s="21" t="s">
        <v>62</v>
      </c>
      <c r="E845" s="21" t="s">
        <v>30</v>
      </c>
      <c r="F845" s="20">
        <v>0.1</v>
      </c>
      <c r="G845" s="22">
        <f>C845*F845</f>
        <v>7.5</v>
      </c>
    </row>
    <row r="846" spans="1:7" ht="15" customHeight="1">
      <c r="A846" s="19" t="s">
        <v>148</v>
      </c>
      <c r="B846" s="20" t="s">
        <v>31</v>
      </c>
      <c r="C846" s="20">
        <v>72</v>
      </c>
      <c r="D846" s="21" t="s">
        <v>46</v>
      </c>
      <c r="E846" s="21" t="s">
        <v>30</v>
      </c>
      <c r="F846" s="20">
        <v>0.2</v>
      </c>
      <c r="G846" s="22">
        <f>C846*F846</f>
        <v>14.4</v>
      </c>
    </row>
    <row r="847" spans="1:7" ht="15" customHeight="1">
      <c r="A847" s="19" t="s">
        <v>148</v>
      </c>
      <c r="B847" s="20" t="s">
        <v>33</v>
      </c>
      <c r="C847" s="20">
        <v>76</v>
      </c>
      <c r="D847" s="21" t="s">
        <v>63</v>
      </c>
      <c r="E847" s="21" t="s">
        <v>35</v>
      </c>
      <c r="F847" s="20">
        <v>0.35</v>
      </c>
      <c r="G847" s="22">
        <f>C847*F847</f>
        <v>26.599999999999998</v>
      </c>
    </row>
    <row r="848" spans="1:7" ht="15" customHeight="1">
      <c r="A848" s="19" t="s">
        <v>148</v>
      </c>
      <c r="B848" s="20" t="s">
        <v>36</v>
      </c>
      <c r="C848" s="20">
        <v>72</v>
      </c>
      <c r="D848" s="21" t="s">
        <v>51</v>
      </c>
      <c r="E848" s="21" t="s">
        <v>38</v>
      </c>
      <c r="F848" s="20">
        <v>0.35</v>
      </c>
      <c r="G848" s="22">
        <f>C848*F848</f>
        <v>25.2</v>
      </c>
    </row>
    <row r="849" spans="1:7" ht="15" customHeight="1">
      <c r="A849" s="19" t="s">
        <v>149</v>
      </c>
      <c r="B849" s="20" t="s">
        <v>8</v>
      </c>
      <c r="C849" s="20">
        <v>74</v>
      </c>
      <c r="D849" s="21" t="s">
        <v>40</v>
      </c>
      <c r="E849" s="21" t="s">
        <v>10</v>
      </c>
      <c r="F849" s="20">
        <v>0.15</v>
      </c>
      <c r="G849" s="22">
        <f>C849*F849</f>
        <v>11.1</v>
      </c>
    </row>
    <row r="850" spans="1:7" ht="15" customHeight="1">
      <c r="A850" s="19" t="s">
        <v>149</v>
      </c>
      <c r="B850" s="20" t="s">
        <v>11</v>
      </c>
      <c r="C850" s="20">
        <v>70</v>
      </c>
      <c r="D850" s="21" t="s">
        <v>41</v>
      </c>
      <c r="E850" s="21" t="s">
        <v>13</v>
      </c>
      <c r="F850" s="20">
        <v>0.2</v>
      </c>
      <c r="G850" s="22">
        <f>C850*F850</f>
        <v>14</v>
      </c>
    </row>
    <row r="851" spans="1:7" ht="15" customHeight="1">
      <c r="A851" s="19" t="s">
        <v>149</v>
      </c>
      <c r="B851" s="20" t="s">
        <v>14</v>
      </c>
      <c r="C851" s="20">
        <v>72</v>
      </c>
      <c r="D851" s="21" t="s">
        <v>41</v>
      </c>
      <c r="E851" s="21" t="s">
        <v>13</v>
      </c>
      <c r="F851" s="20">
        <v>0.25</v>
      </c>
      <c r="G851" s="22">
        <f>C851*F851</f>
        <v>18</v>
      </c>
    </row>
    <row r="852" spans="1:7" ht="15" customHeight="1">
      <c r="A852" s="19" t="s">
        <v>149</v>
      </c>
      <c r="B852" s="20" t="s">
        <v>16</v>
      </c>
      <c r="C852" s="20">
        <v>72</v>
      </c>
      <c r="D852" s="21" t="s">
        <v>42</v>
      </c>
      <c r="E852" s="21" t="s">
        <v>18</v>
      </c>
      <c r="F852" s="20">
        <v>0.4</v>
      </c>
      <c r="G852" s="22">
        <f>C852*F852</f>
        <v>28.8</v>
      </c>
    </row>
    <row r="853" spans="1:7" ht="15" customHeight="1">
      <c r="A853" s="19" t="s">
        <v>149</v>
      </c>
      <c r="B853" s="20" t="s">
        <v>19</v>
      </c>
      <c r="C853" s="20">
        <v>75</v>
      </c>
      <c r="D853" s="21" t="s">
        <v>66</v>
      </c>
      <c r="E853" s="21" t="s">
        <v>21</v>
      </c>
      <c r="F853" s="20">
        <v>0.2</v>
      </c>
      <c r="G853" s="22">
        <f>C853*F853</f>
        <v>15</v>
      </c>
    </row>
    <row r="854" spans="1:7" ht="15" customHeight="1">
      <c r="A854" s="19" t="s">
        <v>149</v>
      </c>
      <c r="B854" s="20" t="s">
        <v>22</v>
      </c>
      <c r="C854" s="20">
        <v>76</v>
      </c>
      <c r="D854" s="21" t="s">
        <v>58</v>
      </c>
      <c r="E854" s="21" t="s">
        <v>24</v>
      </c>
      <c r="F854" s="20">
        <v>0.3</v>
      </c>
      <c r="G854" s="22">
        <f>C854*F854</f>
        <v>22.8</v>
      </c>
    </row>
    <row r="855" spans="1:7" ht="15" customHeight="1">
      <c r="A855" s="19" t="s">
        <v>149</v>
      </c>
      <c r="B855" s="20" t="s">
        <v>25</v>
      </c>
      <c r="C855" s="20">
        <v>73</v>
      </c>
      <c r="D855" s="21" t="s">
        <v>45</v>
      </c>
      <c r="E855" s="21" t="s">
        <v>27</v>
      </c>
      <c r="F855" s="20">
        <v>0.5</v>
      </c>
      <c r="G855" s="22">
        <f>C855*F855</f>
        <v>36.5</v>
      </c>
    </row>
    <row r="856" spans="1:7" ht="15" customHeight="1">
      <c r="A856" s="19" t="s">
        <v>149</v>
      </c>
      <c r="B856" s="20" t="s">
        <v>28</v>
      </c>
      <c r="C856" s="20">
        <v>81</v>
      </c>
      <c r="D856" s="21" t="s">
        <v>62</v>
      </c>
      <c r="E856" s="21" t="s">
        <v>30</v>
      </c>
      <c r="F856" s="20">
        <v>0.1</v>
      </c>
      <c r="G856" s="22">
        <f>C856*F856</f>
        <v>8.1</v>
      </c>
    </row>
    <row r="857" spans="1:7" ht="15" customHeight="1">
      <c r="A857" s="19" t="s">
        <v>149</v>
      </c>
      <c r="B857" s="20" t="s">
        <v>31</v>
      </c>
      <c r="C857" s="20">
        <v>78</v>
      </c>
      <c r="D857" s="21" t="s">
        <v>62</v>
      </c>
      <c r="E857" s="21" t="s">
        <v>30</v>
      </c>
      <c r="F857" s="20">
        <v>0.2</v>
      </c>
      <c r="G857" s="22">
        <f>C857*F857</f>
        <v>15.600000000000001</v>
      </c>
    </row>
    <row r="858" spans="1:7" ht="15" customHeight="1">
      <c r="A858" s="19" t="s">
        <v>149</v>
      </c>
      <c r="B858" s="20" t="s">
        <v>33</v>
      </c>
      <c r="C858" s="20">
        <v>78</v>
      </c>
      <c r="D858" s="21" t="s">
        <v>63</v>
      </c>
      <c r="E858" s="21" t="s">
        <v>35</v>
      </c>
      <c r="F858" s="20">
        <v>0.35</v>
      </c>
      <c r="G858" s="22">
        <f>C858*F858</f>
        <v>27.299999999999997</v>
      </c>
    </row>
    <row r="859" spans="1:7" ht="15" customHeight="1">
      <c r="A859" s="19" t="s">
        <v>149</v>
      </c>
      <c r="B859" s="20" t="s">
        <v>36</v>
      </c>
      <c r="C859" s="20">
        <v>80</v>
      </c>
      <c r="D859" s="21" t="s">
        <v>59</v>
      </c>
      <c r="E859" s="21" t="s">
        <v>38</v>
      </c>
      <c r="F859" s="20">
        <v>0.35</v>
      </c>
      <c r="G859" s="22">
        <f>C859*F859</f>
        <v>28</v>
      </c>
    </row>
    <row r="860" spans="1:7" ht="15" customHeight="1">
      <c r="A860" s="19" t="s">
        <v>150</v>
      </c>
      <c r="B860" s="20" t="s">
        <v>8</v>
      </c>
      <c r="C860" s="20">
        <v>64</v>
      </c>
      <c r="D860" s="21" t="s">
        <v>9</v>
      </c>
      <c r="E860" s="21" t="s">
        <v>10</v>
      </c>
      <c r="F860" s="20">
        <v>0.15</v>
      </c>
      <c r="G860" s="22">
        <f>C860*F860</f>
        <v>9.6</v>
      </c>
    </row>
    <row r="861" spans="1:7" ht="15" customHeight="1">
      <c r="A861" s="19" t="s">
        <v>150</v>
      </c>
      <c r="B861" s="20" t="s">
        <v>11</v>
      </c>
      <c r="C861" s="20">
        <v>63</v>
      </c>
      <c r="D861" s="21" t="s">
        <v>15</v>
      </c>
      <c r="E861" s="21" t="s">
        <v>13</v>
      </c>
      <c r="F861" s="20">
        <v>0.2</v>
      </c>
      <c r="G861" s="22">
        <f>C861*F861</f>
        <v>12.600000000000001</v>
      </c>
    </row>
    <row r="862" spans="1:7" ht="15" customHeight="1">
      <c r="A862" s="19" t="s">
        <v>150</v>
      </c>
      <c r="B862" s="20" t="s">
        <v>14</v>
      </c>
      <c r="C862" s="20">
        <v>66</v>
      </c>
      <c r="D862" s="21" t="s">
        <v>41</v>
      </c>
      <c r="E862" s="21" t="s">
        <v>13</v>
      </c>
      <c r="F862" s="20">
        <v>0.25</v>
      </c>
      <c r="G862" s="22">
        <f>C862*F862</f>
        <v>16.5</v>
      </c>
    </row>
    <row r="863" spans="1:7" ht="15" customHeight="1">
      <c r="A863" s="19" t="s">
        <v>150</v>
      </c>
      <c r="B863" s="20" t="s">
        <v>16</v>
      </c>
      <c r="C863" s="20">
        <v>65</v>
      </c>
      <c r="D863" s="21" t="s">
        <v>42</v>
      </c>
      <c r="E863" s="21" t="s">
        <v>18</v>
      </c>
      <c r="F863" s="20">
        <v>0.4</v>
      </c>
      <c r="G863" s="22">
        <f>C863*F863</f>
        <v>26</v>
      </c>
    </row>
    <row r="864" spans="1:7" ht="15" customHeight="1">
      <c r="A864" s="19" t="s">
        <v>150</v>
      </c>
      <c r="B864" s="20" t="s">
        <v>19</v>
      </c>
      <c r="C864" s="20">
        <v>70</v>
      </c>
      <c r="D864" s="21" t="s">
        <v>43</v>
      </c>
      <c r="E864" s="21" t="s">
        <v>21</v>
      </c>
      <c r="F864" s="20">
        <v>0.2</v>
      </c>
      <c r="G864" s="22">
        <f>C864*F864</f>
        <v>14</v>
      </c>
    </row>
    <row r="865" spans="1:7" ht="15" customHeight="1">
      <c r="A865" s="19" t="s">
        <v>150</v>
      </c>
      <c r="B865" s="20" t="s">
        <v>22</v>
      </c>
      <c r="C865" s="20">
        <v>65</v>
      </c>
      <c r="D865" s="21" t="s">
        <v>44</v>
      </c>
      <c r="E865" s="21" t="s">
        <v>24</v>
      </c>
      <c r="F865" s="20">
        <v>0.3</v>
      </c>
      <c r="G865" s="22">
        <f>C865*F865</f>
        <v>19.5</v>
      </c>
    </row>
    <row r="866" spans="1:7" ht="15" customHeight="1">
      <c r="A866" s="19" t="s">
        <v>150</v>
      </c>
      <c r="B866" s="20" t="s">
        <v>25</v>
      </c>
      <c r="C866" s="20">
        <v>69</v>
      </c>
      <c r="D866" s="21" t="s">
        <v>45</v>
      </c>
      <c r="E866" s="21" t="s">
        <v>27</v>
      </c>
      <c r="F866" s="20">
        <v>0.5</v>
      </c>
      <c r="G866" s="22">
        <f>C866*F866</f>
        <v>34.5</v>
      </c>
    </row>
    <row r="867" spans="1:7" ht="15" customHeight="1">
      <c r="A867" s="19" t="s">
        <v>150</v>
      </c>
      <c r="B867" s="20" t="s">
        <v>28</v>
      </c>
      <c r="C867" s="20">
        <v>68</v>
      </c>
      <c r="D867" s="21" t="s">
        <v>46</v>
      </c>
      <c r="E867" s="21" t="s">
        <v>30</v>
      </c>
      <c r="F867" s="20">
        <v>0.1</v>
      </c>
      <c r="G867" s="22">
        <f>C867*F867</f>
        <v>6.8000000000000007</v>
      </c>
    </row>
    <row r="868" spans="1:7" ht="15" customHeight="1">
      <c r="A868" s="19" t="s">
        <v>150</v>
      </c>
      <c r="B868" s="20" t="s">
        <v>31</v>
      </c>
      <c r="C868" s="20">
        <v>69</v>
      </c>
      <c r="D868" s="21" t="s">
        <v>46</v>
      </c>
      <c r="E868" s="21" t="s">
        <v>30</v>
      </c>
      <c r="F868" s="20">
        <v>0.2</v>
      </c>
      <c r="G868" s="22">
        <f>C868*F868</f>
        <v>13.8</v>
      </c>
    </row>
    <row r="869" spans="1:7" ht="15" customHeight="1">
      <c r="A869" s="19" t="s">
        <v>150</v>
      </c>
      <c r="B869" s="20" t="s">
        <v>33</v>
      </c>
      <c r="C869" s="20">
        <v>71</v>
      </c>
      <c r="D869" s="21" t="s">
        <v>47</v>
      </c>
      <c r="E869" s="21" t="s">
        <v>35</v>
      </c>
      <c r="F869" s="20">
        <v>0.35</v>
      </c>
      <c r="G869" s="22">
        <f>C869*F869</f>
        <v>24.849999999999998</v>
      </c>
    </row>
    <row r="870" spans="1:7" ht="15" customHeight="1">
      <c r="A870" s="19" t="s">
        <v>150</v>
      </c>
      <c r="B870" s="20" t="s">
        <v>36</v>
      </c>
      <c r="C870" s="20">
        <v>69</v>
      </c>
      <c r="D870" s="21" t="s">
        <v>51</v>
      </c>
      <c r="E870" s="21" t="s">
        <v>38</v>
      </c>
      <c r="F870" s="20">
        <v>0.35</v>
      </c>
      <c r="G870" s="22">
        <f>C870*F870</f>
        <v>24.15</v>
      </c>
    </row>
    <row r="871" spans="1:7" ht="15" customHeight="1">
      <c r="A871" s="19" t="s">
        <v>151</v>
      </c>
      <c r="B871" s="20" t="s">
        <v>8</v>
      </c>
      <c r="C871" s="20">
        <v>46</v>
      </c>
      <c r="D871" s="21" t="s">
        <v>132</v>
      </c>
      <c r="E871" s="21" t="s">
        <v>10</v>
      </c>
      <c r="F871" s="20">
        <v>0.15</v>
      </c>
      <c r="G871" s="22">
        <f>C871*F871</f>
        <v>6.8999999999999995</v>
      </c>
    </row>
    <row r="872" spans="1:7" ht="15" customHeight="1">
      <c r="A872" s="19" t="s">
        <v>151</v>
      </c>
      <c r="B872" s="20" t="s">
        <v>11</v>
      </c>
      <c r="C872" s="20">
        <v>47</v>
      </c>
      <c r="D872" s="21" t="s">
        <v>12</v>
      </c>
      <c r="E872" s="21" t="s">
        <v>13</v>
      </c>
      <c r="F872" s="20">
        <v>0.2</v>
      </c>
      <c r="G872" s="22">
        <f>C872*F872</f>
        <v>9.4</v>
      </c>
    </row>
    <row r="873" spans="1:7" ht="15" customHeight="1">
      <c r="A873" s="19" t="s">
        <v>151</v>
      </c>
      <c r="B873" s="20" t="s">
        <v>14</v>
      </c>
      <c r="C873" s="20">
        <v>48</v>
      </c>
      <c r="D873" s="21" t="s">
        <v>12</v>
      </c>
      <c r="E873" s="21" t="s">
        <v>13</v>
      </c>
      <c r="F873" s="20">
        <v>0.25</v>
      </c>
      <c r="G873" s="22">
        <f>C873*F873</f>
        <v>12</v>
      </c>
    </row>
    <row r="874" spans="1:7" ht="15" customHeight="1">
      <c r="A874" s="19" t="s">
        <v>151</v>
      </c>
      <c r="B874" s="20" t="s">
        <v>16</v>
      </c>
      <c r="C874" s="20">
        <v>47</v>
      </c>
      <c r="D874" s="21" t="s">
        <v>124</v>
      </c>
      <c r="E874" s="21" t="s">
        <v>18</v>
      </c>
      <c r="F874" s="20">
        <v>0.4</v>
      </c>
      <c r="G874" s="22">
        <f>C874*F874</f>
        <v>18.8</v>
      </c>
    </row>
    <row r="875" spans="1:7" ht="15" customHeight="1">
      <c r="A875" s="19" t="s">
        <v>151</v>
      </c>
      <c r="B875" s="20" t="s">
        <v>19</v>
      </c>
      <c r="C875" s="20">
        <v>54</v>
      </c>
      <c r="D875" s="21" t="s">
        <v>20</v>
      </c>
      <c r="E875" s="21" t="s">
        <v>21</v>
      </c>
      <c r="F875" s="20">
        <v>0.2</v>
      </c>
      <c r="G875" s="22">
        <f>C875*F875</f>
        <v>10.8</v>
      </c>
    </row>
    <row r="876" spans="1:7" ht="15" customHeight="1">
      <c r="A876" s="19" t="s">
        <v>151</v>
      </c>
      <c r="B876" s="20" t="s">
        <v>22</v>
      </c>
      <c r="C876" s="20">
        <v>51</v>
      </c>
      <c r="D876" s="21" t="s">
        <v>23</v>
      </c>
      <c r="E876" s="21" t="s">
        <v>24</v>
      </c>
      <c r="F876" s="20">
        <v>0.3</v>
      </c>
      <c r="G876" s="22">
        <f>C876*F876</f>
        <v>15.299999999999999</v>
      </c>
    </row>
    <row r="877" spans="1:7" ht="15" customHeight="1">
      <c r="A877" s="19" t="s">
        <v>151</v>
      </c>
      <c r="B877" s="20" t="s">
        <v>25</v>
      </c>
      <c r="C877" s="20">
        <v>51</v>
      </c>
      <c r="D877" s="21" t="s">
        <v>50</v>
      </c>
      <c r="E877" s="21" t="s">
        <v>27</v>
      </c>
      <c r="F877" s="20">
        <v>0.5</v>
      </c>
      <c r="G877" s="22">
        <f>C877*F877</f>
        <v>25.5</v>
      </c>
    </row>
    <row r="878" spans="1:7" ht="15" customHeight="1">
      <c r="A878" s="19" t="s">
        <v>151</v>
      </c>
      <c r="B878" s="20" t="s">
        <v>28</v>
      </c>
      <c r="C878" s="20">
        <v>49</v>
      </c>
      <c r="D878" s="21" t="s">
        <v>32</v>
      </c>
      <c r="E878" s="21" t="s">
        <v>30</v>
      </c>
      <c r="F878" s="20">
        <v>0.1</v>
      </c>
      <c r="G878" s="22">
        <f>C878*F878</f>
        <v>4.9000000000000004</v>
      </c>
    </row>
    <row r="879" spans="1:7" ht="15" customHeight="1">
      <c r="A879" s="19" t="s">
        <v>151</v>
      </c>
      <c r="B879" s="20" t="s">
        <v>31</v>
      </c>
      <c r="C879" s="20">
        <v>51</v>
      </c>
      <c r="D879" s="21" t="s">
        <v>29</v>
      </c>
      <c r="E879" s="21" t="s">
        <v>30</v>
      </c>
      <c r="F879" s="20">
        <v>0.2</v>
      </c>
      <c r="G879" s="22">
        <f>C879*F879</f>
        <v>10.200000000000001</v>
      </c>
    </row>
    <row r="880" spans="1:7" ht="15" customHeight="1">
      <c r="A880" s="19" t="s">
        <v>151</v>
      </c>
      <c r="B880" s="20" t="s">
        <v>33</v>
      </c>
      <c r="C880" s="20">
        <v>47</v>
      </c>
      <c r="D880" s="21" t="s">
        <v>118</v>
      </c>
      <c r="E880" s="21" t="s">
        <v>35</v>
      </c>
      <c r="F880" s="20">
        <v>0.35</v>
      </c>
      <c r="G880" s="22">
        <f>C880*F880</f>
        <v>16.45</v>
      </c>
    </row>
    <row r="881" spans="1:7" ht="15" customHeight="1">
      <c r="A881" s="19" t="s">
        <v>151</v>
      </c>
      <c r="B881" s="20" t="s">
        <v>36</v>
      </c>
      <c r="C881" s="20">
        <v>47</v>
      </c>
      <c r="D881" s="21" t="s">
        <v>37</v>
      </c>
      <c r="E881" s="21" t="s">
        <v>38</v>
      </c>
      <c r="F881" s="20">
        <v>0.35</v>
      </c>
      <c r="G881" s="22">
        <f>C881*F881</f>
        <v>16.45</v>
      </c>
    </row>
    <row r="882" spans="1:7" ht="15" customHeight="1">
      <c r="A882" s="19" t="s">
        <v>152</v>
      </c>
      <c r="B882" s="20" t="s">
        <v>8</v>
      </c>
      <c r="C882" s="20">
        <v>85</v>
      </c>
      <c r="D882" s="21" t="s">
        <v>74</v>
      </c>
      <c r="E882" s="21" t="s">
        <v>10</v>
      </c>
      <c r="F882" s="20">
        <v>0.15</v>
      </c>
      <c r="G882" s="22">
        <f>C882*F882</f>
        <v>12.75</v>
      </c>
    </row>
    <row r="883" spans="1:7" ht="15" customHeight="1">
      <c r="A883" s="19" t="s">
        <v>152</v>
      </c>
      <c r="B883" s="20" t="s">
        <v>11</v>
      </c>
      <c r="C883" s="20">
        <v>87</v>
      </c>
      <c r="D883" s="21" t="s">
        <v>75</v>
      </c>
      <c r="E883" s="21" t="s">
        <v>13</v>
      </c>
      <c r="F883" s="20">
        <v>0.2</v>
      </c>
      <c r="G883" s="22">
        <f>C883*F883</f>
        <v>17.400000000000002</v>
      </c>
    </row>
    <row r="884" spans="1:7" ht="15" customHeight="1">
      <c r="A884" s="19" t="s">
        <v>152</v>
      </c>
      <c r="B884" s="20" t="s">
        <v>14</v>
      </c>
      <c r="C884" s="20">
        <v>81</v>
      </c>
      <c r="D884" s="21" t="s">
        <v>61</v>
      </c>
      <c r="E884" s="21" t="s">
        <v>13</v>
      </c>
      <c r="F884" s="20">
        <v>0.25</v>
      </c>
      <c r="G884" s="22">
        <f>C884*F884</f>
        <v>20.25</v>
      </c>
    </row>
    <row r="885" spans="1:7" ht="15" customHeight="1">
      <c r="A885" s="19" t="s">
        <v>152</v>
      </c>
      <c r="B885" s="20" t="s">
        <v>16</v>
      </c>
      <c r="C885" s="20">
        <v>86</v>
      </c>
      <c r="D885" s="21" t="s">
        <v>76</v>
      </c>
      <c r="E885" s="21" t="s">
        <v>18</v>
      </c>
      <c r="F885" s="20">
        <v>0.4</v>
      </c>
      <c r="G885" s="22">
        <f>C885*F885</f>
        <v>34.4</v>
      </c>
    </row>
    <row r="886" spans="1:7" ht="15" customHeight="1">
      <c r="A886" s="19" t="s">
        <v>152</v>
      </c>
      <c r="B886" s="20" t="s">
        <v>19</v>
      </c>
      <c r="C886" s="20">
        <v>77</v>
      </c>
      <c r="D886" s="21" t="s">
        <v>66</v>
      </c>
      <c r="E886" s="21" t="s">
        <v>21</v>
      </c>
      <c r="F886" s="20">
        <v>0.2</v>
      </c>
      <c r="G886" s="22">
        <f>C886*F886</f>
        <v>15.4</v>
      </c>
    </row>
    <row r="887" spans="1:7" ht="15" customHeight="1">
      <c r="A887" s="19" t="s">
        <v>152</v>
      </c>
      <c r="B887" s="20" t="s">
        <v>22</v>
      </c>
      <c r="C887" s="20">
        <v>79</v>
      </c>
      <c r="D887" s="21" t="s">
        <v>58</v>
      </c>
      <c r="E887" s="21" t="s">
        <v>24</v>
      </c>
      <c r="F887" s="20">
        <v>0.3</v>
      </c>
      <c r="G887" s="22">
        <f>C887*F887</f>
        <v>23.7</v>
      </c>
    </row>
    <row r="888" spans="1:7" ht="15" customHeight="1">
      <c r="A888" s="19" t="s">
        <v>152</v>
      </c>
      <c r="B888" s="20" t="s">
        <v>25</v>
      </c>
      <c r="C888" s="20">
        <v>78</v>
      </c>
      <c r="D888" s="21" t="s">
        <v>67</v>
      </c>
      <c r="E888" s="21" t="s">
        <v>27</v>
      </c>
      <c r="F888" s="20">
        <v>0.5</v>
      </c>
      <c r="G888" s="22">
        <f>C888*F888</f>
        <v>39</v>
      </c>
    </row>
    <row r="889" spans="1:7" ht="15" customHeight="1">
      <c r="A889" s="19" t="s">
        <v>152</v>
      </c>
      <c r="B889" s="20" t="s">
        <v>28</v>
      </c>
      <c r="C889" s="20">
        <v>80</v>
      </c>
      <c r="D889" s="21" t="s">
        <v>62</v>
      </c>
      <c r="E889" s="21" t="s">
        <v>30</v>
      </c>
      <c r="F889" s="20">
        <v>0.1</v>
      </c>
      <c r="G889" s="22">
        <f>C889*F889</f>
        <v>8</v>
      </c>
    </row>
    <row r="890" spans="1:7" ht="15" customHeight="1">
      <c r="A890" s="19" t="s">
        <v>152</v>
      </c>
      <c r="B890" s="20" t="s">
        <v>31</v>
      </c>
      <c r="C890" s="20">
        <v>85</v>
      </c>
      <c r="D890" s="21" t="s">
        <v>90</v>
      </c>
      <c r="E890" s="21" t="s">
        <v>30</v>
      </c>
      <c r="F890" s="20">
        <v>0.2</v>
      </c>
      <c r="G890" s="22">
        <f>C890*F890</f>
        <v>17</v>
      </c>
    </row>
    <row r="891" spans="1:7" ht="15" customHeight="1">
      <c r="A891" s="19" t="s">
        <v>152</v>
      </c>
      <c r="B891" s="20" t="s">
        <v>33</v>
      </c>
      <c r="C891" s="20">
        <v>83</v>
      </c>
      <c r="D891" s="21" t="s">
        <v>63</v>
      </c>
      <c r="E891" s="21" t="s">
        <v>35</v>
      </c>
      <c r="F891" s="20">
        <v>0.35</v>
      </c>
      <c r="G891" s="22">
        <f>C891*F891</f>
        <v>29.049999999999997</v>
      </c>
    </row>
    <row r="892" spans="1:7" ht="15" customHeight="1">
      <c r="A892" s="19" t="s">
        <v>152</v>
      </c>
      <c r="B892" s="20" t="s">
        <v>36</v>
      </c>
      <c r="C892" s="20">
        <v>84</v>
      </c>
      <c r="D892" s="21" t="s">
        <v>59</v>
      </c>
      <c r="E892" s="21" t="s">
        <v>38</v>
      </c>
      <c r="F892" s="20">
        <v>0.35</v>
      </c>
      <c r="G892" s="22">
        <f>C892*F892</f>
        <v>29.4</v>
      </c>
    </row>
    <row r="893" spans="1:7" ht="15" customHeight="1">
      <c r="A893" s="19" t="s">
        <v>153</v>
      </c>
      <c r="B893" s="20" t="s">
        <v>8</v>
      </c>
      <c r="C893" s="20">
        <v>62</v>
      </c>
      <c r="D893" s="21" t="s">
        <v>9</v>
      </c>
      <c r="E893" s="21" t="s">
        <v>10</v>
      </c>
      <c r="F893" s="20">
        <v>0.15</v>
      </c>
      <c r="G893" s="22">
        <f>C893*F893</f>
        <v>9.2999999999999989</v>
      </c>
    </row>
    <row r="894" spans="1:7" ht="15" customHeight="1">
      <c r="A894" s="19" t="s">
        <v>153</v>
      </c>
      <c r="B894" s="20" t="s">
        <v>11</v>
      </c>
      <c r="C894" s="20">
        <v>63</v>
      </c>
      <c r="D894" s="21" t="s">
        <v>15</v>
      </c>
      <c r="E894" s="21" t="s">
        <v>13</v>
      </c>
      <c r="F894" s="20">
        <v>0.2</v>
      </c>
      <c r="G894" s="22">
        <f>C894*F894</f>
        <v>12.600000000000001</v>
      </c>
    </row>
    <row r="895" spans="1:7" ht="15" customHeight="1">
      <c r="A895" s="19" t="s">
        <v>153</v>
      </c>
      <c r="B895" s="20" t="s">
        <v>14</v>
      </c>
      <c r="C895" s="20">
        <v>59</v>
      </c>
      <c r="D895" s="21" t="s">
        <v>15</v>
      </c>
      <c r="E895" s="21" t="s">
        <v>13</v>
      </c>
      <c r="F895" s="20">
        <v>0.25</v>
      </c>
      <c r="G895" s="22">
        <f>C895*F895</f>
        <v>14.75</v>
      </c>
    </row>
    <row r="896" spans="1:7" ht="15" customHeight="1">
      <c r="A896" s="19" t="s">
        <v>153</v>
      </c>
      <c r="B896" s="20" t="s">
        <v>16</v>
      </c>
      <c r="C896" s="20">
        <v>63</v>
      </c>
      <c r="D896" s="21" t="s">
        <v>17</v>
      </c>
      <c r="E896" s="21" t="s">
        <v>18</v>
      </c>
      <c r="F896" s="20">
        <v>0.4</v>
      </c>
      <c r="G896" s="22">
        <f>C896*F896</f>
        <v>25.200000000000003</v>
      </c>
    </row>
    <row r="897" spans="1:7" ht="15" customHeight="1">
      <c r="A897" s="19" t="s">
        <v>153</v>
      </c>
      <c r="B897" s="20" t="s">
        <v>19</v>
      </c>
      <c r="C897" s="20">
        <v>52</v>
      </c>
      <c r="D897" s="21" t="s">
        <v>20</v>
      </c>
      <c r="E897" s="21" t="s">
        <v>21</v>
      </c>
      <c r="F897" s="20">
        <v>0.2</v>
      </c>
      <c r="G897" s="22">
        <f>C897*F897</f>
        <v>10.4</v>
      </c>
    </row>
    <row r="898" spans="1:7" ht="15" customHeight="1">
      <c r="A898" s="19" t="s">
        <v>153</v>
      </c>
      <c r="B898" s="20" t="s">
        <v>22</v>
      </c>
      <c r="C898" s="20">
        <v>52</v>
      </c>
      <c r="D898" s="21" t="s">
        <v>23</v>
      </c>
      <c r="E898" s="21" t="s">
        <v>24</v>
      </c>
      <c r="F898" s="20">
        <v>0.3</v>
      </c>
      <c r="G898" s="22">
        <f>C898*F898</f>
        <v>15.6</v>
      </c>
    </row>
    <row r="899" spans="1:7" ht="15" customHeight="1">
      <c r="A899" s="19" t="s">
        <v>153</v>
      </c>
      <c r="B899" s="20" t="s">
        <v>25</v>
      </c>
      <c r="C899" s="20">
        <v>52</v>
      </c>
      <c r="D899" s="21" t="s">
        <v>50</v>
      </c>
      <c r="E899" s="21" t="s">
        <v>27</v>
      </c>
      <c r="F899" s="20">
        <v>0.5</v>
      </c>
      <c r="G899" s="22">
        <f>C899*F899</f>
        <v>26</v>
      </c>
    </row>
    <row r="900" spans="1:7" ht="15" customHeight="1">
      <c r="A900" s="19" t="s">
        <v>153</v>
      </c>
      <c r="B900" s="20" t="s">
        <v>28</v>
      </c>
      <c r="C900" s="20">
        <v>58</v>
      </c>
      <c r="D900" s="21" t="s">
        <v>29</v>
      </c>
      <c r="E900" s="21" t="s">
        <v>30</v>
      </c>
      <c r="F900" s="20">
        <v>0.1</v>
      </c>
      <c r="G900" s="22">
        <f>C900*F900</f>
        <v>5.8000000000000007</v>
      </c>
    </row>
    <row r="901" spans="1:7" ht="15" customHeight="1">
      <c r="A901" s="19" t="s">
        <v>153</v>
      </c>
      <c r="B901" s="20" t="s">
        <v>31</v>
      </c>
      <c r="C901" s="20">
        <v>55</v>
      </c>
      <c r="D901" s="21" t="s">
        <v>29</v>
      </c>
      <c r="E901" s="21" t="s">
        <v>30</v>
      </c>
      <c r="F901" s="20">
        <v>0.2</v>
      </c>
      <c r="G901" s="22">
        <f>C901*F901</f>
        <v>11</v>
      </c>
    </row>
    <row r="902" spans="1:7" ht="15" customHeight="1">
      <c r="A902" s="19" t="s">
        <v>153</v>
      </c>
      <c r="B902" s="20" t="s">
        <v>33</v>
      </c>
      <c r="C902" s="20">
        <v>57</v>
      </c>
      <c r="D902" s="21" t="s">
        <v>34</v>
      </c>
      <c r="E902" s="21" t="s">
        <v>35</v>
      </c>
      <c r="F902" s="20">
        <v>0.35</v>
      </c>
      <c r="G902" s="22">
        <f>C902*F902</f>
        <v>19.95</v>
      </c>
    </row>
    <row r="903" spans="1:7" ht="15" customHeight="1">
      <c r="A903" s="19" t="s">
        <v>153</v>
      </c>
      <c r="B903" s="20" t="s">
        <v>36</v>
      </c>
      <c r="C903" s="20">
        <v>57</v>
      </c>
      <c r="D903" s="21" t="s">
        <v>48</v>
      </c>
      <c r="E903" s="21" t="s">
        <v>38</v>
      </c>
      <c r="F903" s="20">
        <v>0.35</v>
      </c>
      <c r="G903" s="22">
        <f>C903*F903</f>
        <v>19.95</v>
      </c>
    </row>
    <row r="904" spans="1:7" ht="15" customHeight="1">
      <c r="A904" s="19" t="s">
        <v>154</v>
      </c>
      <c r="B904" s="20" t="s">
        <v>8</v>
      </c>
      <c r="C904" s="20">
        <v>53</v>
      </c>
      <c r="D904" s="21" t="s">
        <v>9</v>
      </c>
      <c r="E904" s="21" t="s">
        <v>10</v>
      </c>
      <c r="F904" s="20">
        <v>0.15</v>
      </c>
      <c r="G904" s="22">
        <f>C904*F904</f>
        <v>7.9499999999999993</v>
      </c>
    </row>
    <row r="905" spans="1:7" ht="15" customHeight="1">
      <c r="A905" s="19" t="s">
        <v>154</v>
      </c>
      <c r="B905" s="20" t="s">
        <v>11</v>
      </c>
      <c r="C905" s="20">
        <v>49</v>
      </c>
      <c r="D905" s="21" t="s">
        <v>12</v>
      </c>
      <c r="E905" s="21" t="s">
        <v>13</v>
      </c>
      <c r="F905" s="20">
        <v>0.2</v>
      </c>
      <c r="G905" s="22">
        <f>C905*F905</f>
        <v>9.8000000000000007</v>
      </c>
    </row>
    <row r="906" spans="1:7" ht="15" customHeight="1">
      <c r="A906" s="19" t="s">
        <v>154</v>
      </c>
      <c r="B906" s="20" t="s">
        <v>14</v>
      </c>
      <c r="C906" s="20">
        <v>51</v>
      </c>
      <c r="D906" s="21" t="s">
        <v>15</v>
      </c>
      <c r="E906" s="21" t="s">
        <v>13</v>
      </c>
      <c r="F906" s="20">
        <v>0.25</v>
      </c>
      <c r="G906" s="22">
        <f>C906*F906</f>
        <v>12.75</v>
      </c>
    </row>
    <row r="907" spans="1:7" ht="15" customHeight="1">
      <c r="A907" s="19" t="s">
        <v>154</v>
      </c>
      <c r="B907" s="20" t="s">
        <v>16</v>
      </c>
      <c r="C907" s="20">
        <v>48</v>
      </c>
      <c r="D907" s="21" t="s">
        <v>124</v>
      </c>
      <c r="E907" s="21" t="s">
        <v>18</v>
      </c>
      <c r="F907" s="20">
        <v>0.4</v>
      </c>
      <c r="G907" s="22">
        <f>C907*F907</f>
        <v>19.200000000000003</v>
      </c>
    </row>
    <row r="908" spans="1:7" ht="15" customHeight="1">
      <c r="A908" s="19" t="s">
        <v>154</v>
      </c>
      <c r="B908" s="20" t="s">
        <v>19</v>
      </c>
      <c r="C908" s="20">
        <v>56</v>
      </c>
      <c r="D908" s="21" t="s">
        <v>20</v>
      </c>
      <c r="E908" s="21" t="s">
        <v>21</v>
      </c>
      <c r="F908" s="20">
        <v>0.2</v>
      </c>
      <c r="G908" s="22">
        <f>C908*F908</f>
        <v>11.200000000000001</v>
      </c>
    </row>
    <row r="909" spans="1:7" ht="15" customHeight="1">
      <c r="A909" s="19" t="s">
        <v>154</v>
      </c>
      <c r="B909" s="20" t="s">
        <v>22</v>
      </c>
      <c r="C909" s="20">
        <v>58</v>
      </c>
      <c r="D909" s="21" t="s">
        <v>23</v>
      </c>
      <c r="E909" s="21" t="s">
        <v>24</v>
      </c>
      <c r="F909" s="20">
        <v>0.3</v>
      </c>
      <c r="G909" s="22">
        <f>C909*F909</f>
        <v>17.399999999999999</v>
      </c>
    </row>
    <row r="910" spans="1:7" ht="15" customHeight="1">
      <c r="A910" s="19" t="s">
        <v>154</v>
      </c>
      <c r="B910" s="20" t="s">
        <v>25</v>
      </c>
      <c r="C910" s="20">
        <v>53</v>
      </c>
      <c r="D910" s="21" t="s">
        <v>50</v>
      </c>
      <c r="E910" s="21" t="s">
        <v>27</v>
      </c>
      <c r="F910" s="20">
        <v>0.5</v>
      </c>
      <c r="G910" s="22">
        <f>C910*F910</f>
        <v>26.5</v>
      </c>
    </row>
    <row r="911" spans="1:7" ht="15" customHeight="1">
      <c r="A911" s="19" t="s">
        <v>154</v>
      </c>
      <c r="B911" s="20" t="s">
        <v>28</v>
      </c>
      <c r="C911" s="20">
        <v>58</v>
      </c>
      <c r="D911" s="21" t="s">
        <v>29</v>
      </c>
      <c r="E911" s="21" t="s">
        <v>30</v>
      </c>
      <c r="F911" s="20">
        <v>0.1</v>
      </c>
      <c r="G911" s="22">
        <f>C911*F911</f>
        <v>5.8000000000000007</v>
      </c>
    </row>
    <row r="912" spans="1:7" ht="15" customHeight="1">
      <c r="A912" s="19" t="s">
        <v>154</v>
      </c>
      <c r="B912" s="20" t="s">
        <v>31</v>
      </c>
      <c r="C912" s="20">
        <v>57</v>
      </c>
      <c r="D912" s="21" t="s">
        <v>29</v>
      </c>
      <c r="E912" s="21" t="s">
        <v>30</v>
      </c>
      <c r="F912" s="20">
        <v>0.2</v>
      </c>
      <c r="G912" s="22">
        <f>C912*F912</f>
        <v>11.4</v>
      </c>
    </row>
    <row r="913" spans="1:7" ht="15" customHeight="1">
      <c r="A913" s="19" t="s">
        <v>154</v>
      </c>
      <c r="B913" s="20" t="s">
        <v>33</v>
      </c>
      <c r="C913" s="20">
        <v>52</v>
      </c>
      <c r="D913" s="21" t="s">
        <v>34</v>
      </c>
      <c r="E913" s="21" t="s">
        <v>35</v>
      </c>
      <c r="F913" s="20">
        <v>0.35</v>
      </c>
      <c r="G913" s="22">
        <f>C913*F913</f>
        <v>18.2</v>
      </c>
    </row>
    <row r="914" spans="1:7" ht="15" customHeight="1">
      <c r="A914" s="19" t="s">
        <v>154</v>
      </c>
      <c r="B914" s="20" t="s">
        <v>36</v>
      </c>
      <c r="C914" s="20">
        <v>58</v>
      </c>
      <c r="D914" s="21" t="s">
        <v>48</v>
      </c>
      <c r="E914" s="21" t="s">
        <v>38</v>
      </c>
      <c r="F914" s="20">
        <v>0.35</v>
      </c>
      <c r="G914" s="22">
        <f>C914*F914</f>
        <v>20.299999999999997</v>
      </c>
    </row>
    <row r="915" spans="1:7" ht="15" customHeight="1">
      <c r="A915" s="19" t="s">
        <v>155</v>
      </c>
      <c r="B915" s="20" t="s">
        <v>8</v>
      </c>
      <c r="C915" s="20">
        <v>48</v>
      </c>
      <c r="D915" s="21" t="s">
        <v>132</v>
      </c>
      <c r="E915" s="21" t="s">
        <v>10</v>
      </c>
      <c r="F915" s="20">
        <v>0.15</v>
      </c>
      <c r="G915" s="22">
        <f>C915*F915</f>
        <v>7.1999999999999993</v>
      </c>
    </row>
    <row r="916" spans="1:7" ht="15" customHeight="1">
      <c r="A916" s="19" t="s">
        <v>155</v>
      </c>
      <c r="B916" s="20" t="s">
        <v>11</v>
      </c>
      <c r="C916" s="20">
        <v>47</v>
      </c>
      <c r="D916" s="21" t="s">
        <v>12</v>
      </c>
      <c r="E916" s="21" t="s">
        <v>13</v>
      </c>
      <c r="F916" s="20">
        <v>0.2</v>
      </c>
      <c r="G916" s="22">
        <f>C916*F916</f>
        <v>9.4</v>
      </c>
    </row>
    <row r="917" spans="1:7" ht="15" customHeight="1">
      <c r="A917" s="19" t="s">
        <v>155</v>
      </c>
      <c r="B917" s="20" t="s">
        <v>14</v>
      </c>
      <c r="C917" s="20">
        <v>48</v>
      </c>
      <c r="D917" s="21" t="s">
        <v>12</v>
      </c>
      <c r="E917" s="21" t="s">
        <v>13</v>
      </c>
      <c r="F917" s="20">
        <v>0.25</v>
      </c>
      <c r="G917" s="22">
        <f>C917*F917</f>
        <v>12</v>
      </c>
    </row>
    <row r="918" spans="1:7" ht="15" customHeight="1">
      <c r="A918" s="19" t="s">
        <v>155</v>
      </c>
      <c r="B918" s="20" t="s">
        <v>16</v>
      </c>
      <c r="C918" s="20">
        <v>45</v>
      </c>
      <c r="D918" s="21" t="s">
        <v>124</v>
      </c>
      <c r="E918" s="21" t="s">
        <v>18</v>
      </c>
      <c r="F918" s="20">
        <v>0.4</v>
      </c>
      <c r="G918" s="22">
        <f>C918*F918</f>
        <v>18</v>
      </c>
    </row>
    <row r="919" spans="1:7" ht="15" customHeight="1">
      <c r="A919" s="19" t="s">
        <v>155</v>
      </c>
      <c r="B919" s="20" t="s">
        <v>19</v>
      </c>
      <c r="C919" s="20">
        <v>48</v>
      </c>
      <c r="D919" s="21" t="s">
        <v>53</v>
      </c>
      <c r="E919" s="21" t="s">
        <v>21</v>
      </c>
      <c r="F919" s="20">
        <v>0.2</v>
      </c>
      <c r="G919" s="22">
        <f>C919*F919</f>
        <v>9.6000000000000014</v>
      </c>
    </row>
    <row r="920" spans="1:7" ht="15" customHeight="1">
      <c r="A920" s="19" t="s">
        <v>155</v>
      </c>
      <c r="B920" s="20" t="s">
        <v>22</v>
      </c>
      <c r="C920" s="20">
        <v>46</v>
      </c>
      <c r="D920" s="21" t="s">
        <v>54</v>
      </c>
      <c r="E920" s="21" t="s">
        <v>24</v>
      </c>
      <c r="F920" s="20">
        <v>0.3</v>
      </c>
      <c r="G920" s="22">
        <f>C920*F920</f>
        <v>13.799999999999999</v>
      </c>
    </row>
    <row r="921" spans="1:7" ht="15" customHeight="1">
      <c r="A921" s="19" t="s">
        <v>155</v>
      </c>
      <c r="B921" s="20" t="s">
        <v>25</v>
      </c>
      <c r="C921" s="20">
        <v>48</v>
      </c>
      <c r="D921" s="21" t="s">
        <v>26</v>
      </c>
      <c r="E921" s="21" t="s">
        <v>27</v>
      </c>
      <c r="F921" s="20">
        <v>0.5</v>
      </c>
      <c r="G921" s="22">
        <f>C921*F921</f>
        <v>24</v>
      </c>
    </row>
    <row r="922" spans="1:7" ht="15" customHeight="1">
      <c r="A922" s="19" t="s">
        <v>155</v>
      </c>
      <c r="B922" s="20" t="s">
        <v>28</v>
      </c>
      <c r="C922" s="20">
        <v>47</v>
      </c>
      <c r="D922" s="21" t="s">
        <v>32</v>
      </c>
      <c r="E922" s="21" t="s">
        <v>30</v>
      </c>
      <c r="F922" s="20">
        <v>0.1</v>
      </c>
      <c r="G922" s="22">
        <f>C922*F922</f>
        <v>4.7</v>
      </c>
    </row>
    <row r="923" spans="1:7" ht="15" customHeight="1">
      <c r="A923" s="19" t="s">
        <v>155</v>
      </c>
      <c r="B923" s="20" t="s">
        <v>31</v>
      </c>
      <c r="C923" s="20">
        <v>49</v>
      </c>
      <c r="D923" s="21" t="s">
        <v>32</v>
      </c>
      <c r="E923" s="21" t="s">
        <v>30</v>
      </c>
      <c r="F923" s="20">
        <v>0.2</v>
      </c>
      <c r="G923" s="22">
        <f>C923*F923</f>
        <v>9.8000000000000007</v>
      </c>
    </row>
    <row r="924" spans="1:7" ht="15" customHeight="1">
      <c r="A924" s="19" t="s">
        <v>155</v>
      </c>
      <c r="B924" s="20" t="s">
        <v>33</v>
      </c>
      <c r="C924" s="20">
        <v>45</v>
      </c>
      <c r="D924" s="21" t="s">
        <v>118</v>
      </c>
      <c r="E924" s="21" t="s">
        <v>35</v>
      </c>
      <c r="F924" s="20">
        <v>0.35</v>
      </c>
      <c r="G924" s="22">
        <f>C924*F924</f>
        <v>15.749999999999998</v>
      </c>
    </row>
    <row r="925" spans="1:7" ht="15" customHeight="1">
      <c r="A925" s="19" t="s">
        <v>155</v>
      </c>
      <c r="B925" s="20" t="s">
        <v>36</v>
      </c>
      <c r="C925" s="20">
        <v>49</v>
      </c>
      <c r="D925" s="21" t="s">
        <v>37</v>
      </c>
      <c r="E925" s="21" t="s">
        <v>38</v>
      </c>
      <c r="F925" s="20">
        <v>0.35</v>
      </c>
      <c r="G925" s="22">
        <f>C925*F925</f>
        <v>17.149999999999999</v>
      </c>
    </row>
    <row r="926" spans="1:7" ht="15" customHeight="1">
      <c r="A926" s="19" t="s">
        <v>156</v>
      </c>
      <c r="B926" s="20" t="s">
        <v>8</v>
      </c>
      <c r="C926" s="20">
        <v>62</v>
      </c>
      <c r="D926" s="21" t="s">
        <v>9</v>
      </c>
      <c r="E926" s="21" t="s">
        <v>10</v>
      </c>
      <c r="F926" s="20">
        <v>0.15</v>
      </c>
      <c r="G926" s="22">
        <f>C926*F926</f>
        <v>9.2999999999999989</v>
      </c>
    </row>
    <row r="927" spans="1:7" ht="15" customHeight="1">
      <c r="A927" s="19" t="s">
        <v>156</v>
      </c>
      <c r="B927" s="20" t="s">
        <v>11</v>
      </c>
      <c r="C927" s="20">
        <v>62</v>
      </c>
      <c r="D927" s="21" t="s">
        <v>15</v>
      </c>
      <c r="E927" s="21" t="s">
        <v>13</v>
      </c>
      <c r="F927" s="20">
        <v>0.2</v>
      </c>
      <c r="G927" s="22">
        <f>C927*F927</f>
        <v>12.4</v>
      </c>
    </row>
    <row r="928" spans="1:7" ht="15" customHeight="1">
      <c r="A928" s="19" t="s">
        <v>156</v>
      </c>
      <c r="B928" s="20" t="s">
        <v>14</v>
      </c>
      <c r="C928" s="20">
        <v>66</v>
      </c>
      <c r="D928" s="21" t="s">
        <v>41</v>
      </c>
      <c r="E928" s="21" t="s">
        <v>13</v>
      </c>
      <c r="F928" s="20">
        <v>0.25</v>
      </c>
      <c r="G928" s="22">
        <f>C928*F928</f>
        <v>16.5</v>
      </c>
    </row>
    <row r="929" spans="1:7" ht="15" customHeight="1">
      <c r="A929" s="19" t="s">
        <v>156</v>
      </c>
      <c r="B929" s="20" t="s">
        <v>16</v>
      </c>
      <c r="C929" s="20">
        <v>68</v>
      </c>
      <c r="D929" s="21" t="s">
        <v>42</v>
      </c>
      <c r="E929" s="21" t="s">
        <v>18</v>
      </c>
      <c r="F929" s="20">
        <v>0.4</v>
      </c>
      <c r="G929" s="22">
        <f>C929*F929</f>
        <v>27.200000000000003</v>
      </c>
    </row>
    <row r="930" spans="1:7" ht="15" customHeight="1">
      <c r="A930" s="19" t="s">
        <v>156</v>
      </c>
      <c r="B930" s="20" t="s">
        <v>19</v>
      </c>
      <c r="C930" s="20">
        <v>64</v>
      </c>
      <c r="D930" s="21" t="s">
        <v>20</v>
      </c>
      <c r="E930" s="21" t="s">
        <v>21</v>
      </c>
      <c r="F930" s="20">
        <v>0.2</v>
      </c>
      <c r="G930" s="22">
        <f>C930*F930</f>
        <v>12.8</v>
      </c>
    </row>
    <row r="931" spans="1:7" ht="15" customHeight="1">
      <c r="A931" s="19" t="s">
        <v>156</v>
      </c>
      <c r="B931" s="20" t="s">
        <v>22</v>
      </c>
      <c r="C931" s="20">
        <v>62</v>
      </c>
      <c r="D931" s="21" t="s">
        <v>23</v>
      </c>
      <c r="E931" s="21" t="s">
        <v>24</v>
      </c>
      <c r="F931" s="20">
        <v>0.3</v>
      </c>
      <c r="G931" s="22">
        <f>C931*F931</f>
        <v>18.599999999999998</v>
      </c>
    </row>
    <row r="932" spans="1:7" ht="15" customHeight="1">
      <c r="A932" s="19" t="s">
        <v>156</v>
      </c>
      <c r="B932" s="20" t="s">
        <v>25</v>
      </c>
      <c r="C932" s="20">
        <v>61</v>
      </c>
      <c r="D932" s="21" t="s">
        <v>50</v>
      </c>
      <c r="E932" s="21" t="s">
        <v>27</v>
      </c>
      <c r="F932" s="20">
        <v>0.5</v>
      </c>
      <c r="G932" s="22">
        <f>C932*F932</f>
        <v>30.5</v>
      </c>
    </row>
    <row r="933" spans="1:7" ht="15" customHeight="1">
      <c r="A933" s="19" t="s">
        <v>156</v>
      </c>
      <c r="B933" s="20" t="s">
        <v>28</v>
      </c>
      <c r="C933" s="20">
        <v>65</v>
      </c>
      <c r="D933" s="21" t="s">
        <v>46</v>
      </c>
      <c r="E933" s="21" t="s">
        <v>30</v>
      </c>
      <c r="F933" s="20">
        <v>0.1</v>
      </c>
      <c r="G933" s="22">
        <f>C933*F933</f>
        <v>6.5</v>
      </c>
    </row>
    <row r="934" spans="1:7" ht="15" customHeight="1">
      <c r="A934" s="19" t="s">
        <v>156</v>
      </c>
      <c r="B934" s="20" t="s">
        <v>31</v>
      </c>
      <c r="C934" s="20">
        <v>69</v>
      </c>
      <c r="D934" s="21" t="s">
        <v>46</v>
      </c>
      <c r="E934" s="21" t="s">
        <v>30</v>
      </c>
      <c r="F934" s="20">
        <v>0.2</v>
      </c>
      <c r="G934" s="22">
        <f>C934*F934</f>
        <v>13.8</v>
      </c>
    </row>
    <row r="935" spans="1:7" ht="15" customHeight="1">
      <c r="A935" s="19" t="s">
        <v>156</v>
      </c>
      <c r="B935" s="20" t="s">
        <v>33</v>
      </c>
      <c r="C935" s="20">
        <v>65</v>
      </c>
      <c r="D935" s="21" t="s">
        <v>47</v>
      </c>
      <c r="E935" s="21" t="s">
        <v>35</v>
      </c>
      <c r="F935" s="20">
        <v>0.35</v>
      </c>
      <c r="G935" s="22">
        <f>C935*F935</f>
        <v>22.75</v>
      </c>
    </row>
    <row r="936" spans="1:7" ht="15" customHeight="1">
      <c r="A936" s="19" t="s">
        <v>156</v>
      </c>
      <c r="B936" s="20" t="s">
        <v>36</v>
      </c>
      <c r="C936" s="20">
        <v>68</v>
      </c>
      <c r="D936" s="21" t="s">
        <v>51</v>
      </c>
      <c r="E936" s="21" t="s">
        <v>38</v>
      </c>
      <c r="F936" s="20">
        <v>0.35</v>
      </c>
      <c r="G936" s="22">
        <f>C936*F936</f>
        <v>23.799999999999997</v>
      </c>
    </row>
    <row r="937" spans="1:7" ht="15" customHeight="1">
      <c r="A937" s="19" t="s">
        <v>157</v>
      </c>
      <c r="B937" s="20" t="s">
        <v>8</v>
      </c>
      <c r="C937" s="20">
        <v>80</v>
      </c>
      <c r="D937" s="21" t="s">
        <v>56</v>
      </c>
      <c r="E937" s="21" t="s">
        <v>10</v>
      </c>
      <c r="F937" s="20">
        <v>0.15</v>
      </c>
      <c r="G937" s="22">
        <f>C937*F937</f>
        <v>12</v>
      </c>
    </row>
    <row r="938" spans="1:7" ht="15" customHeight="1">
      <c r="A938" s="19" t="s">
        <v>157</v>
      </c>
      <c r="B938" s="20" t="s">
        <v>11</v>
      </c>
      <c r="C938" s="20">
        <v>85</v>
      </c>
      <c r="D938" s="21" t="s">
        <v>75</v>
      </c>
      <c r="E938" s="21" t="s">
        <v>13</v>
      </c>
      <c r="F938" s="20">
        <v>0.2</v>
      </c>
      <c r="G938" s="22">
        <f>C938*F938</f>
        <v>17</v>
      </c>
    </row>
    <row r="939" spans="1:7" ht="15" customHeight="1">
      <c r="A939" s="19" t="s">
        <v>157</v>
      </c>
      <c r="B939" s="20" t="s">
        <v>14</v>
      </c>
      <c r="C939" s="20">
        <v>85</v>
      </c>
      <c r="D939" s="21" t="s">
        <v>75</v>
      </c>
      <c r="E939" s="21" t="s">
        <v>13</v>
      </c>
      <c r="F939" s="20">
        <v>0.25</v>
      </c>
      <c r="G939" s="22">
        <f>C939*F939</f>
        <v>21.25</v>
      </c>
    </row>
    <row r="940" spans="1:7" ht="15" customHeight="1">
      <c r="A940" s="19" t="s">
        <v>157</v>
      </c>
      <c r="B940" s="20" t="s">
        <v>16</v>
      </c>
      <c r="C940" s="20">
        <v>85</v>
      </c>
      <c r="D940" s="21" t="s">
        <v>76</v>
      </c>
      <c r="E940" s="21" t="s">
        <v>18</v>
      </c>
      <c r="F940" s="20">
        <v>0.4</v>
      </c>
      <c r="G940" s="22">
        <f>C940*F940</f>
        <v>34</v>
      </c>
    </row>
    <row r="941" spans="1:7" ht="15" customHeight="1">
      <c r="A941" s="19" t="s">
        <v>157</v>
      </c>
      <c r="B941" s="20" t="s">
        <v>19</v>
      </c>
      <c r="C941" s="20">
        <v>75</v>
      </c>
      <c r="D941" s="21" t="s">
        <v>66</v>
      </c>
      <c r="E941" s="21" t="s">
        <v>21</v>
      </c>
      <c r="F941" s="20">
        <v>0.2</v>
      </c>
      <c r="G941" s="22">
        <f>C941*F941</f>
        <v>15</v>
      </c>
    </row>
    <row r="942" spans="1:7" ht="15" customHeight="1">
      <c r="A942" s="19" t="s">
        <v>157</v>
      </c>
      <c r="B942" s="20" t="s">
        <v>22</v>
      </c>
      <c r="C942" s="20">
        <v>75</v>
      </c>
      <c r="D942" s="21" t="s">
        <v>58</v>
      </c>
      <c r="E942" s="21" t="s">
        <v>24</v>
      </c>
      <c r="F942" s="20">
        <v>0.3</v>
      </c>
      <c r="G942" s="22">
        <f>C942*F942</f>
        <v>22.5</v>
      </c>
    </row>
    <row r="943" spans="1:7" ht="15" customHeight="1">
      <c r="A943" s="19" t="s">
        <v>157</v>
      </c>
      <c r="B943" s="20" t="s">
        <v>25</v>
      </c>
      <c r="C943" s="20">
        <v>79</v>
      </c>
      <c r="D943" s="21" t="s">
        <v>67</v>
      </c>
      <c r="E943" s="21" t="s">
        <v>27</v>
      </c>
      <c r="F943" s="20">
        <v>0.5</v>
      </c>
      <c r="G943" s="22">
        <f>C943*F943</f>
        <v>39.5</v>
      </c>
    </row>
    <row r="944" spans="1:7" ht="15" customHeight="1">
      <c r="A944" s="19" t="s">
        <v>157</v>
      </c>
      <c r="B944" s="20" t="s">
        <v>28</v>
      </c>
      <c r="C944" s="20">
        <v>79</v>
      </c>
      <c r="D944" s="21" t="s">
        <v>62</v>
      </c>
      <c r="E944" s="21" t="s">
        <v>30</v>
      </c>
      <c r="F944" s="20">
        <v>0.1</v>
      </c>
      <c r="G944" s="22">
        <f>C944*F944</f>
        <v>7.9</v>
      </c>
    </row>
    <row r="945" spans="1:7" ht="15" customHeight="1">
      <c r="A945" s="19" t="s">
        <v>157</v>
      </c>
      <c r="B945" s="20" t="s">
        <v>31</v>
      </c>
      <c r="C945" s="20">
        <v>78</v>
      </c>
      <c r="D945" s="21" t="s">
        <v>62</v>
      </c>
      <c r="E945" s="21" t="s">
        <v>30</v>
      </c>
      <c r="F945" s="20">
        <v>0.2</v>
      </c>
      <c r="G945" s="22">
        <f>C945*F945</f>
        <v>15.600000000000001</v>
      </c>
    </row>
    <row r="946" spans="1:7" ht="15" customHeight="1">
      <c r="A946" s="19" t="s">
        <v>157</v>
      </c>
      <c r="B946" s="20" t="s">
        <v>33</v>
      </c>
      <c r="C946" s="20">
        <v>80</v>
      </c>
      <c r="D946" s="21" t="s">
        <v>63</v>
      </c>
      <c r="E946" s="21" t="s">
        <v>35</v>
      </c>
      <c r="F946" s="20">
        <v>0.35</v>
      </c>
      <c r="G946" s="22">
        <f>C946*F946</f>
        <v>28</v>
      </c>
    </row>
    <row r="947" spans="1:7" ht="15" customHeight="1">
      <c r="A947" s="19" t="s">
        <v>157</v>
      </c>
      <c r="B947" s="20" t="s">
        <v>36</v>
      </c>
      <c r="C947" s="20">
        <v>83</v>
      </c>
      <c r="D947" s="21" t="s">
        <v>59</v>
      </c>
      <c r="E947" s="21" t="s">
        <v>38</v>
      </c>
      <c r="F947" s="20">
        <v>0.35</v>
      </c>
      <c r="G947" s="22">
        <f>C947*F947</f>
        <v>29.049999999999997</v>
      </c>
    </row>
    <row r="948" spans="1:7" ht="15" customHeight="1">
      <c r="A948" s="19" t="s">
        <v>158</v>
      </c>
      <c r="B948" s="20" t="s">
        <v>8</v>
      </c>
      <c r="C948" s="20">
        <v>60</v>
      </c>
      <c r="D948" s="21" t="s">
        <v>9</v>
      </c>
      <c r="E948" s="21" t="s">
        <v>10</v>
      </c>
      <c r="F948" s="20">
        <v>0.15</v>
      </c>
      <c r="G948" s="22">
        <f>C948*F948</f>
        <v>9</v>
      </c>
    </row>
    <row r="949" spans="1:7" ht="15" customHeight="1">
      <c r="A949" s="19" t="s">
        <v>158</v>
      </c>
      <c r="B949" s="20" t="s">
        <v>11</v>
      </c>
      <c r="C949" s="20">
        <v>58</v>
      </c>
      <c r="D949" s="21" t="s">
        <v>15</v>
      </c>
      <c r="E949" s="21" t="s">
        <v>13</v>
      </c>
      <c r="F949" s="20">
        <v>0.2</v>
      </c>
      <c r="G949" s="22">
        <f>C949*F949</f>
        <v>11.600000000000001</v>
      </c>
    </row>
    <row r="950" spans="1:7" ht="15" customHeight="1">
      <c r="A950" s="19" t="s">
        <v>158</v>
      </c>
      <c r="B950" s="20" t="s">
        <v>14</v>
      </c>
      <c r="C950" s="20">
        <v>57</v>
      </c>
      <c r="D950" s="21" t="s">
        <v>15</v>
      </c>
      <c r="E950" s="21" t="s">
        <v>13</v>
      </c>
      <c r="F950" s="20">
        <v>0.25</v>
      </c>
      <c r="G950" s="22">
        <f>C950*F950</f>
        <v>14.25</v>
      </c>
    </row>
    <row r="951" spans="1:7" ht="15" customHeight="1">
      <c r="A951" s="19" t="s">
        <v>158</v>
      </c>
      <c r="B951" s="20" t="s">
        <v>16</v>
      </c>
      <c r="C951" s="20">
        <v>56</v>
      </c>
      <c r="D951" s="21" t="s">
        <v>17</v>
      </c>
      <c r="E951" s="21" t="s">
        <v>18</v>
      </c>
      <c r="F951" s="20">
        <v>0.4</v>
      </c>
      <c r="G951" s="22">
        <f>C951*F951</f>
        <v>22.400000000000002</v>
      </c>
    </row>
    <row r="952" spans="1:7" ht="15" customHeight="1">
      <c r="A952" s="19" t="s">
        <v>158</v>
      </c>
      <c r="B952" s="20" t="s">
        <v>19</v>
      </c>
      <c r="C952" s="20">
        <v>61</v>
      </c>
      <c r="D952" s="21" t="s">
        <v>20</v>
      </c>
      <c r="E952" s="21" t="s">
        <v>21</v>
      </c>
      <c r="F952" s="20">
        <v>0.2</v>
      </c>
      <c r="G952" s="22">
        <f>C952*F952</f>
        <v>12.200000000000001</v>
      </c>
    </row>
    <row r="953" spans="1:7" ht="15" customHeight="1">
      <c r="A953" s="19" t="s">
        <v>158</v>
      </c>
      <c r="B953" s="20" t="s">
        <v>22</v>
      </c>
      <c r="C953" s="20">
        <v>56</v>
      </c>
      <c r="D953" s="21" t="s">
        <v>23</v>
      </c>
      <c r="E953" s="21" t="s">
        <v>24</v>
      </c>
      <c r="F953" s="20">
        <v>0.3</v>
      </c>
      <c r="G953" s="22">
        <f>C953*F953</f>
        <v>16.8</v>
      </c>
    </row>
    <row r="954" spans="1:7" ht="15" customHeight="1">
      <c r="A954" s="19" t="s">
        <v>158</v>
      </c>
      <c r="B954" s="20" t="s">
        <v>25</v>
      </c>
      <c r="C954" s="20">
        <v>61</v>
      </c>
      <c r="D954" s="21" t="s">
        <v>50</v>
      </c>
      <c r="E954" s="21" t="s">
        <v>27</v>
      </c>
      <c r="F954" s="20">
        <v>0.5</v>
      </c>
      <c r="G954" s="22">
        <f>C954*F954</f>
        <v>30.5</v>
      </c>
    </row>
    <row r="955" spans="1:7" ht="15" customHeight="1">
      <c r="A955" s="19" t="s">
        <v>158</v>
      </c>
      <c r="B955" s="20" t="s">
        <v>28</v>
      </c>
      <c r="C955" s="20">
        <v>62</v>
      </c>
      <c r="D955" s="21" t="s">
        <v>29</v>
      </c>
      <c r="E955" s="21" t="s">
        <v>30</v>
      </c>
      <c r="F955" s="20">
        <v>0.1</v>
      </c>
      <c r="G955" s="22">
        <f>C955*F955</f>
        <v>6.2</v>
      </c>
    </row>
    <row r="956" spans="1:7" ht="15" customHeight="1">
      <c r="A956" s="19" t="s">
        <v>158</v>
      </c>
      <c r="B956" s="20" t="s">
        <v>31</v>
      </c>
      <c r="C956" s="20">
        <v>60</v>
      </c>
      <c r="D956" s="21" t="s">
        <v>29</v>
      </c>
      <c r="E956" s="21" t="s">
        <v>30</v>
      </c>
      <c r="F956" s="20">
        <v>0.2</v>
      </c>
      <c r="G956" s="22">
        <f>C956*F956</f>
        <v>12</v>
      </c>
    </row>
    <row r="957" spans="1:7" ht="15" customHeight="1">
      <c r="A957" s="19" t="s">
        <v>158</v>
      </c>
      <c r="B957" s="20" t="s">
        <v>33</v>
      </c>
      <c r="C957" s="20">
        <v>64</v>
      </c>
      <c r="D957" s="21" t="s">
        <v>34</v>
      </c>
      <c r="E957" s="21" t="s">
        <v>35</v>
      </c>
      <c r="F957" s="20">
        <v>0.35</v>
      </c>
      <c r="G957" s="22">
        <f>C957*F957</f>
        <v>22.4</v>
      </c>
    </row>
    <row r="958" spans="1:7" ht="15" customHeight="1">
      <c r="A958" s="19" t="s">
        <v>158</v>
      </c>
      <c r="B958" s="20" t="s">
        <v>36</v>
      </c>
      <c r="C958" s="20">
        <v>62</v>
      </c>
      <c r="D958" s="21" t="s">
        <v>48</v>
      </c>
      <c r="E958" s="21" t="s">
        <v>38</v>
      </c>
      <c r="F958" s="20">
        <v>0.35</v>
      </c>
      <c r="G958" s="22">
        <f>C958*F958</f>
        <v>21.7</v>
      </c>
    </row>
    <row r="959" spans="1:7" ht="15" customHeight="1">
      <c r="A959" s="19" t="s">
        <v>159</v>
      </c>
      <c r="B959" s="20" t="s">
        <v>8</v>
      </c>
      <c r="C959" s="20">
        <v>78</v>
      </c>
      <c r="D959" s="21" t="s">
        <v>56</v>
      </c>
      <c r="E959" s="21" t="s">
        <v>10</v>
      </c>
      <c r="F959" s="20">
        <v>0.15</v>
      </c>
      <c r="G959" s="22">
        <f>C959*F959</f>
        <v>11.7</v>
      </c>
    </row>
    <row r="960" spans="1:7" ht="15" customHeight="1">
      <c r="A960" s="19" t="s">
        <v>159</v>
      </c>
      <c r="B960" s="20" t="s">
        <v>11</v>
      </c>
      <c r="C960" s="20">
        <v>77</v>
      </c>
      <c r="D960" s="21" t="s">
        <v>61</v>
      </c>
      <c r="E960" s="21" t="s">
        <v>13</v>
      </c>
      <c r="F960" s="20">
        <v>0.2</v>
      </c>
      <c r="G960" s="22">
        <f>C960*F960</f>
        <v>15.4</v>
      </c>
    </row>
    <row r="961" spans="1:7" ht="15" customHeight="1">
      <c r="A961" s="19" t="s">
        <v>159</v>
      </c>
      <c r="B961" s="20" t="s">
        <v>14</v>
      </c>
      <c r="C961" s="20">
        <v>76</v>
      </c>
      <c r="D961" s="21" t="s">
        <v>61</v>
      </c>
      <c r="E961" s="21" t="s">
        <v>13</v>
      </c>
      <c r="F961" s="20">
        <v>0.25</v>
      </c>
      <c r="G961" s="22">
        <f>C961*F961</f>
        <v>19</v>
      </c>
    </row>
    <row r="962" spans="1:7" ht="15" customHeight="1">
      <c r="A962" s="19" t="s">
        <v>159</v>
      </c>
      <c r="B962" s="20" t="s">
        <v>16</v>
      </c>
      <c r="C962" s="20">
        <v>73</v>
      </c>
      <c r="D962" s="21" t="s">
        <v>42</v>
      </c>
      <c r="E962" s="21" t="s">
        <v>18</v>
      </c>
      <c r="F962" s="20">
        <v>0.4</v>
      </c>
      <c r="G962" s="22">
        <f>C962*F962</f>
        <v>29.200000000000003</v>
      </c>
    </row>
    <row r="963" spans="1:7" ht="15" customHeight="1">
      <c r="A963" s="19" t="s">
        <v>159</v>
      </c>
      <c r="B963" s="20" t="s">
        <v>19</v>
      </c>
      <c r="C963" s="20">
        <v>73</v>
      </c>
      <c r="D963" s="21" t="s">
        <v>43</v>
      </c>
      <c r="E963" s="21" t="s">
        <v>21</v>
      </c>
      <c r="F963" s="20">
        <v>0.2</v>
      </c>
      <c r="G963" s="22">
        <f>C963*F963</f>
        <v>14.600000000000001</v>
      </c>
    </row>
    <row r="964" spans="1:7" ht="15" customHeight="1">
      <c r="A964" s="19" t="s">
        <v>159</v>
      </c>
      <c r="B964" s="20" t="s">
        <v>22</v>
      </c>
      <c r="C964" s="20">
        <v>70</v>
      </c>
      <c r="D964" s="21" t="s">
        <v>44</v>
      </c>
      <c r="E964" s="21" t="s">
        <v>24</v>
      </c>
      <c r="F964" s="20">
        <v>0.3</v>
      </c>
      <c r="G964" s="22">
        <f>C964*F964</f>
        <v>21</v>
      </c>
    </row>
    <row r="965" spans="1:7" ht="15" customHeight="1">
      <c r="A965" s="19" t="s">
        <v>159</v>
      </c>
      <c r="B965" s="20" t="s">
        <v>25</v>
      </c>
      <c r="C965" s="20">
        <v>76</v>
      </c>
      <c r="D965" s="21" t="s">
        <v>67</v>
      </c>
      <c r="E965" s="21" t="s">
        <v>27</v>
      </c>
      <c r="F965" s="20">
        <v>0.5</v>
      </c>
      <c r="G965" s="22">
        <f>C965*F965</f>
        <v>38</v>
      </c>
    </row>
    <row r="966" spans="1:7" ht="15" customHeight="1">
      <c r="A966" s="19" t="s">
        <v>159</v>
      </c>
      <c r="B966" s="20" t="s">
        <v>28</v>
      </c>
      <c r="C966" s="20">
        <v>71</v>
      </c>
      <c r="D966" s="21" t="s">
        <v>46</v>
      </c>
      <c r="E966" s="21" t="s">
        <v>30</v>
      </c>
      <c r="F966" s="20">
        <v>0.1</v>
      </c>
      <c r="G966" s="22">
        <f>C966*F966</f>
        <v>7.1000000000000005</v>
      </c>
    </row>
    <row r="967" spans="1:7" ht="15" customHeight="1">
      <c r="A967" s="19" t="s">
        <v>159</v>
      </c>
      <c r="B967" s="20" t="s">
        <v>31</v>
      </c>
      <c r="C967" s="20">
        <v>72</v>
      </c>
      <c r="D967" s="21" t="s">
        <v>46</v>
      </c>
      <c r="E967" s="21" t="s">
        <v>30</v>
      </c>
      <c r="F967" s="20">
        <v>0.2</v>
      </c>
      <c r="G967" s="22">
        <f>C967*F967</f>
        <v>14.4</v>
      </c>
    </row>
    <row r="968" spans="1:7" ht="15" customHeight="1">
      <c r="A968" s="19" t="s">
        <v>159</v>
      </c>
      <c r="B968" s="20" t="s">
        <v>33</v>
      </c>
      <c r="C968" s="20">
        <v>73</v>
      </c>
      <c r="D968" s="21" t="s">
        <v>47</v>
      </c>
      <c r="E968" s="21" t="s">
        <v>35</v>
      </c>
      <c r="F968" s="20">
        <v>0.35</v>
      </c>
      <c r="G968" s="22">
        <f>C968*F968</f>
        <v>25.549999999999997</v>
      </c>
    </row>
    <row r="969" spans="1:7" ht="15" customHeight="1">
      <c r="A969" s="19" t="s">
        <v>159</v>
      </c>
      <c r="B969" s="20" t="s">
        <v>36</v>
      </c>
      <c r="C969" s="20">
        <v>70</v>
      </c>
      <c r="D969" s="21" t="s">
        <v>51</v>
      </c>
      <c r="E969" s="21" t="s">
        <v>38</v>
      </c>
      <c r="F969" s="20">
        <v>0.35</v>
      </c>
      <c r="G969" s="22">
        <f>C969*F969</f>
        <v>24.5</v>
      </c>
    </row>
    <row r="970" spans="1:7" ht="15" customHeight="1">
      <c r="A970" s="19" t="s">
        <v>160</v>
      </c>
      <c r="B970" s="20" t="s">
        <v>8</v>
      </c>
      <c r="C970" s="20">
        <v>68</v>
      </c>
      <c r="D970" s="21" t="s">
        <v>40</v>
      </c>
      <c r="E970" s="21" t="s">
        <v>10</v>
      </c>
      <c r="F970" s="20">
        <v>0.15</v>
      </c>
      <c r="G970" s="22">
        <f>C970*F970</f>
        <v>10.199999999999999</v>
      </c>
    </row>
    <row r="971" spans="1:7" ht="15" customHeight="1">
      <c r="A971" s="19" t="s">
        <v>160</v>
      </c>
      <c r="B971" s="20" t="s">
        <v>11</v>
      </c>
      <c r="C971" s="20">
        <v>70</v>
      </c>
      <c r="D971" s="21" t="s">
        <v>41</v>
      </c>
      <c r="E971" s="21" t="s">
        <v>13</v>
      </c>
      <c r="F971" s="20">
        <v>0.2</v>
      </c>
      <c r="G971" s="22">
        <f>C971*F971</f>
        <v>14</v>
      </c>
    </row>
    <row r="972" spans="1:7" ht="15" customHeight="1">
      <c r="A972" s="19" t="s">
        <v>160</v>
      </c>
      <c r="B972" s="20" t="s">
        <v>14</v>
      </c>
      <c r="C972" s="20">
        <v>68</v>
      </c>
      <c r="D972" s="21" t="s">
        <v>41</v>
      </c>
      <c r="E972" s="21" t="s">
        <v>13</v>
      </c>
      <c r="F972" s="20">
        <v>0.25</v>
      </c>
      <c r="G972" s="22">
        <f>C972*F972</f>
        <v>17</v>
      </c>
    </row>
    <row r="973" spans="1:7" ht="15" customHeight="1">
      <c r="A973" s="19" t="s">
        <v>160</v>
      </c>
      <c r="B973" s="20" t="s">
        <v>16</v>
      </c>
      <c r="C973" s="20">
        <v>67</v>
      </c>
      <c r="D973" s="21" t="s">
        <v>42</v>
      </c>
      <c r="E973" s="21" t="s">
        <v>18</v>
      </c>
      <c r="F973" s="20">
        <v>0.4</v>
      </c>
      <c r="G973" s="22">
        <f>C973*F973</f>
        <v>26.8</v>
      </c>
    </row>
    <row r="974" spans="1:7" ht="15" customHeight="1">
      <c r="A974" s="19" t="s">
        <v>160</v>
      </c>
      <c r="B974" s="20" t="s">
        <v>19</v>
      </c>
      <c r="C974" s="20">
        <v>62</v>
      </c>
      <c r="D974" s="21" t="s">
        <v>20</v>
      </c>
      <c r="E974" s="21" t="s">
        <v>21</v>
      </c>
      <c r="F974" s="20">
        <v>0.2</v>
      </c>
      <c r="G974" s="22">
        <f>C974*F974</f>
        <v>12.4</v>
      </c>
    </row>
    <row r="975" spans="1:7" ht="15" customHeight="1">
      <c r="A975" s="19" t="s">
        <v>160</v>
      </c>
      <c r="B975" s="20" t="s">
        <v>22</v>
      </c>
      <c r="C975" s="20">
        <v>62</v>
      </c>
      <c r="D975" s="21" t="s">
        <v>23</v>
      </c>
      <c r="E975" s="21" t="s">
        <v>24</v>
      </c>
      <c r="F975" s="20">
        <v>0.3</v>
      </c>
      <c r="G975" s="22">
        <f>C975*F975</f>
        <v>18.599999999999998</v>
      </c>
    </row>
    <row r="976" spans="1:7" ht="15" customHeight="1">
      <c r="A976" s="19" t="s">
        <v>160</v>
      </c>
      <c r="B976" s="20" t="s">
        <v>25</v>
      </c>
      <c r="C976" s="20">
        <v>63</v>
      </c>
      <c r="D976" s="21" t="s">
        <v>50</v>
      </c>
      <c r="E976" s="21" t="s">
        <v>27</v>
      </c>
      <c r="F976" s="20">
        <v>0.5</v>
      </c>
      <c r="G976" s="22">
        <f>C976*F976</f>
        <v>31.5</v>
      </c>
    </row>
    <row r="977" spans="1:7" ht="15" customHeight="1">
      <c r="A977" s="19" t="s">
        <v>160</v>
      </c>
      <c r="B977" s="20" t="s">
        <v>28</v>
      </c>
      <c r="C977" s="20">
        <v>69</v>
      </c>
      <c r="D977" s="21" t="s">
        <v>46</v>
      </c>
      <c r="E977" s="21" t="s">
        <v>30</v>
      </c>
      <c r="F977" s="20">
        <v>0.1</v>
      </c>
      <c r="G977" s="22">
        <f>C977*F977</f>
        <v>6.9</v>
      </c>
    </row>
    <row r="978" spans="1:7" ht="15" customHeight="1">
      <c r="A978" s="19" t="s">
        <v>160</v>
      </c>
      <c r="B978" s="20" t="s">
        <v>31</v>
      </c>
      <c r="C978" s="20">
        <v>68</v>
      </c>
      <c r="D978" s="21" t="s">
        <v>46</v>
      </c>
      <c r="E978" s="21" t="s">
        <v>30</v>
      </c>
      <c r="F978" s="20">
        <v>0.2</v>
      </c>
      <c r="G978" s="22">
        <f>C978*F978</f>
        <v>13.600000000000001</v>
      </c>
    </row>
    <row r="979" spans="1:7" ht="15" customHeight="1">
      <c r="A979" s="19" t="s">
        <v>160</v>
      </c>
      <c r="B979" s="20" t="s">
        <v>33</v>
      </c>
      <c r="C979" s="20">
        <v>66</v>
      </c>
      <c r="D979" s="21" t="s">
        <v>47</v>
      </c>
      <c r="E979" s="21" t="s">
        <v>35</v>
      </c>
      <c r="F979" s="20">
        <v>0.35</v>
      </c>
      <c r="G979" s="22">
        <f>C979*F979</f>
        <v>23.099999999999998</v>
      </c>
    </row>
    <row r="980" spans="1:7" ht="15" customHeight="1">
      <c r="A980" s="19" t="s">
        <v>160</v>
      </c>
      <c r="B980" s="20" t="s">
        <v>36</v>
      </c>
      <c r="C980" s="20">
        <v>66</v>
      </c>
      <c r="D980" s="21" t="s">
        <v>51</v>
      </c>
      <c r="E980" s="21" t="s">
        <v>38</v>
      </c>
      <c r="F980" s="20">
        <v>0.35</v>
      </c>
      <c r="G980" s="22">
        <f>C980*F980</f>
        <v>23.099999999999998</v>
      </c>
    </row>
    <row r="981" spans="1:7" ht="15" customHeight="1">
      <c r="A981" s="19" t="s">
        <v>161</v>
      </c>
      <c r="B981" s="20" t="s">
        <v>8</v>
      </c>
      <c r="C981" s="20">
        <v>70</v>
      </c>
      <c r="D981" s="21" t="s">
        <v>40</v>
      </c>
      <c r="E981" s="21" t="s">
        <v>10</v>
      </c>
      <c r="F981" s="20">
        <v>0.15</v>
      </c>
      <c r="G981" s="22">
        <f>C981*F981</f>
        <v>10.5</v>
      </c>
    </row>
    <row r="982" spans="1:7" ht="15" customHeight="1">
      <c r="A982" s="19" t="s">
        <v>161</v>
      </c>
      <c r="B982" s="20" t="s">
        <v>11</v>
      </c>
      <c r="C982" s="20">
        <v>64</v>
      </c>
      <c r="D982" s="21" t="s">
        <v>15</v>
      </c>
      <c r="E982" s="21" t="s">
        <v>13</v>
      </c>
      <c r="F982" s="20">
        <v>0.2</v>
      </c>
      <c r="G982" s="22">
        <f>C982*F982</f>
        <v>12.8</v>
      </c>
    </row>
    <row r="983" spans="1:7" ht="15" customHeight="1">
      <c r="A983" s="19" t="s">
        <v>161</v>
      </c>
      <c r="B983" s="20" t="s">
        <v>14</v>
      </c>
      <c r="C983" s="20">
        <v>67</v>
      </c>
      <c r="D983" s="21" t="s">
        <v>41</v>
      </c>
      <c r="E983" s="21" t="s">
        <v>13</v>
      </c>
      <c r="F983" s="20">
        <v>0.25</v>
      </c>
      <c r="G983" s="22">
        <f>C983*F983</f>
        <v>16.75</v>
      </c>
    </row>
    <row r="984" spans="1:7" ht="15" customHeight="1">
      <c r="A984" s="19" t="s">
        <v>161</v>
      </c>
      <c r="B984" s="20" t="s">
        <v>16</v>
      </c>
      <c r="C984" s="20">
        <v>68</v>
      </c>
      <c r="D984" s="21" t="s">
        <v>42</v>
      </c>
      <c r="E984" s="21" t="s">
        <v>18</v>
      </c>
      <c r="F984" s="20">
        <v>0.4</v>
      </c>
      <c r="G984" s="22">
        <f>C984*F984</f>
        <v>27.200000000000003</v>
      </c>
    </row>
    <row r="985" spans="1:7" ht="15" customHeight="1">
      <c r="A985" s="19" t="s">
        <v>161</v>
      </c>
      <c r="B985" s="20" t="s">
        <v>19</v>
      </c>
      <c r="C985" s="20">
        <v>68</v>
      </c>
      <c r="D985" s="21" t="s">
        <v>43</v>
      </c>
      <c r="E985" s="21" t="s">
        <v>21</v>
      </c>
      <c r="F985" s="20">
        <v>0.2</v>
      </c>
      <c r="G985" s="22">
        <f>C985*F985</f>
        <v>13.600000000000001</v>
      </c>
    </row>
    <row r="986" spans="1:7" ht="15" customHeight="1">
      <c r="A986" s="19" t="s">
        <v>161</v>
      </c>
      <c r="B986" s="20" t="s">
        <v>22</v>
      </c>
      <c r="C986" s="20">
        <v>72</v>
      </c>
      <c r="D986" s="21" t="s">
        <v>44</v>
      </c>
      <c r="E986" s="21" t="s">
        <v>24</v>
      </c>
      <c r="F986" s="20">
        <v>0.3</v>
      </c>
      <c r="G986" s="22">
        <f>C986*F986</f>
        <v>21.599999999999998</v>
      </c>
    </row>
    <row r="987" spans="1:7" ht="15" customHeight="1">
      <c r="A987" s="19" t="s">
        <v>161</v>
      </c>
      <c r="B987" s="20" t="s">
        <v>25</v>
      </c>
      <c r="C987" s="20">
        <v>72</v>
      </c>
      <c r="D987" s="21" t="s">
        <v>45</v>
      </c>
      <c r="E987" s="21" t="s">
        <v>27</v>
      </c>
      <c r="F987" s="20">
        <v>0.5</v>
      </c>
      <c r="G987" s="22">
        <f>C987*F987</f>
        <v>36</v>
      </c>
    </row>
    <row r="988" spans="1:7" ht="15" customHeight="1">
      <c r="A988" s="19" t="s">
        <v>161</v>
      </c>
      <c r="B988" s="20" t="s">
        <v>28</v>
      </c>
      <c r="C988" s="20">
        <v>67</v>
      </c>
      <c r="D988" s="21" t="s">
        <v>46</v>
      </c>
      <c r="E988" s="21" t="s">
        <v>30</v>
      </c>
      <c r="F988" s="20">
        <v>0.1</v>
      </c>
      <c r="G988" s="22">
        <f>C988*F988</f>
        <v>6.7</v>
      </c>
    </row>
    <row r="989" spans="1:7" ht="15" customHeight="1">
      <c r="A989" s="19" t="s">
        <v>161</v>
      </c>
      <c r="B989" s="20" t="s">
        <v>31</v>
      </c>
      <c r="C989" s="20">
        <v>65</v>
      </c>
      <c r="D989" s="21" t="s">
        <v>46</v>
      </c>
      <c r="E989" s="21" t="s">
        <v>30</v>
      </c>
      <c r="F989" s="20">
        <v>0.2</v>
      </c>
      <c r="G989" s="22">
        <f>C989*F989</f>
        <v>13</v>
      </c>
    </row>
    <row r="990" spans="1:7" ht="15" customHeight="1">
      <c r="A990" s="19" t="s">
        <v>161</v>
      </c>
      <c r="B990" s="20" t="s">
        <v>33</v>
      </c>
      <c r="C990" s="20">
        <v>67</v>
      </c>
      <c r="D990" s="21" t="s">
        <v>47</v>
      </c>
      <c r="E990" s="21" t="s">
        <v>35</v>
      </c>
      <c r="F990" s="20">
        <v>0.35</v>
      </c>
      <c r="G990" s="22">
        <f>C990*F990</f>
        <v>23.45</v>
      </c>
    </row>
    <row r="991" spans="1:7" ht="15" customHeight="1">
      <c r="A991" s="19" t="s">
        <v>161</v>
      </c>
      <c r="B991" s="20" t="s">
        <v>36</v>
      </c>
      <c r="C991" s="20">
        <v>69</v>
      </c>
      <c r="D991" s="21" t="s">
        <v>51</v>
      </c>
      <c r="E991" s="21" t="s">
        <v>38</v>
      </c>
      <c r="F991" s="20">
        <v>0.35</v>
      </c>
      <c r="G991" s="22">
        <f>C991*F991</f>
        <v>24.15</v>
      </c>
    </row>
    <row r="992" spans="1:7" ht="15" customHeight="1">
      <c r="A992" s="19" t="s">
        <v>162</v>
      </c>
      <c r="B992" s="20" t="s">
        <v>8</v>
      </c>
      <c r="C992" s="20">
        <v>81</v>
      </c>
      <c r="D992" s="21" t="s">
        <v>56</v>
      </c>
      <c r="E992" s="21" t="s">
        <v>10</v>
      </c>
      <c r="F992" s="20">
        <v>0.15</v>
      </c>
      <c r="G992" s="22">
        <f>C992*F992</f>
        <v>12.15</v>
      </c>
    </row>
    <row r="993" spans="1:7" ht="15" customHeight="1">
      <c r="A993" s="19" t="s">
        <v>162</v>
      </c>
      <c r="B993" s="20" t="s">
        <v>11</v>
      </c>
      <c r="C993" s="20">
        <v>78</v>
      </c>
      <c r="D993" s="21" t="s">
        <v>61</v>
      </c>
      <c r="E993" s="21" t="s">
        <v>13</v>
      </c>
      <c r="F993" s="20">
        <v>0.2</v>
      </c>
      <c r="G993" s="22">
        <f>C993*F993</f>
        <v>15.600000000000001</v>
      </c>
    </row>
    <row r="994" spans="1:7" ht="15" customHeight="1">
      <c r="A994" s="19" t="s">
        <v>162</v>
      </c>
      <c r="B994" s="20" t="s">
        <v>14</v>
      </c>
      <c r="C994" s="20">
        <v>76</v>
      </c>
      <c r="D994" s="21" t="s">
        <v>61</v>
      </c>
      <c r="E994" s="21" t="s">
        <v>13</v>
      </c>
      <c r="F994" s="20">
        <v>0.25</v>
      </c>
      <c r="G994" s="22">
        <f>C994*F994</f>
        <v>19</v>
      </c>
    </row>
    <row r="995" spans="1:7" ht="15" customHeight="1">
      <c r="A995" s="19" t="s">
        <v>162</v>
      </c>
      <c r="B995" s="20" t="s">
        <v>16</v>
      </c>
      <c r="C995" s="20">
        <v>79</v>
      </c>
      <c r="D995" s="21" t="s">
        <v>57</v>
      </c>
      <c r="E995" s="21" t="s">
        <v>18</v>
      </c>
      <c r="F995" s="20">
        <v>0.4</v>
      </c>
      <c r="G995" s="22">
        <f>C995*F995</f>
        <v>31.6</v>
      </c>
    </row>
    <row r="996" spans="1:7" ht="15" customHeight="1">
      <c r="A996" s="19" t="s">
        <v>162</v>
      </c>
      <c r="B996" s="20" t="s">
        <v>19</v>
      </c>
      <c r="C996" s="20">
        <v>80</v>
      </c>
      <c r="D996" s="21" t="s">
        <v>66</v>
      </c>
      <c r="E996" s="21" t="s">
        <v>21</v>
      </c>
      <c r="F996" s="20">
        <v>0.2</v>
      </c>
      <c r="G996" s="22">
        <f>C996*F996</f>
        <v>16</v>
      </c>
    </row>
    <row r="997" spans="1:7" ht="15" customHeight="1">
      <c r="A997" s="19" t="s">
        <v>162</v>
      </c>
      <c r="B997" s="20" t="s">
        <v>22</v>
      </c>
      <c r="C997" s="20">
        <v>82</v>
      </c>
      <c r="D997" s="21" t="s">
        <v>58</v>
      </c>
      <c r="E997" s="21" t="s">
        <v>24</v>
      </c>
      <c r="F997" s="20">
        <v>0.3</v>
      </c>
      <c r="G997" s="22">
        <f>C997*F997</f>
        <v>24.599999999999998</v>
      </c>
    </row>
    <row r="998" spans="1:7" ht="15" customHeight="1">
      <c r="A998" s="19" t="s">
        <v>162</v>
      </c>
      <c r="B998" s="20" t="s">
        <v>25</v>
      </c>
      <c r="C998" s="20">
        <v>81</v>
      </c>
      <c r="D998" s="21" t="s">
        <v>67</v>
      </c>
      <c r="E998" s="21" t="s">
        <v>27</v>
      </c>
      <c r="F998" s="20">
        <v>0.5</v>
      </c>
      <c r="G998" s="22">
        <f>C998*F998</f>
        <v>40.5</v>
      </c>
    </row>
    <row r="999" spans="1:7" ht="15" customHeight="1">
      <c r="A999" s="19" t="s">
        <v>162</v>
      </c>
      <c r="B999" s="20" t="s">
        <v>28</v>
      </c>
      <c r="C999" s="20">
        <v>78</v>
      </c>
      <c r="D999" s="21" t="s">
        <v>62</v>
      </c>
      <c r="E999" s="21" t="s">
        <v>30</v>
      </c>
      <c r="F999" s="20">
        <v>0.1</v>
      </c>
      <c r="G999" s="22">
        <f>C999*F999</f>
        <v>7.8000000000000007</v>
      </c>
    </row>
    <row r="1000" spans="1:7" ht="15" customHeight="1">
      <c r="A1000" s="19" t="s">
        <v>162</v>
      </c>
      <c r="B1000" s="20" t="s">
        <v>31</v>
      </c>
      <c r="C1000" s="20">
        <v>80</v>
      </c>
      <c r="D1000" s="21" t="s">
        <v>62</v>
      </c>
      <c r="E1000" s="21" t="s">
        <v>30</v>
      </c>
      <c r="F1000" s="20">
        <v>0.2</v>
      </c>
      <c r="G1000" s="22">
        <f>C1000*F1000</f>
        <v>16</v>
      </c>
    </row>
    <row r="1001" spans="1:7" ht="15" customHeight="1">
      <c r="A1001" s="19" t="s">
        <v>162</v>
      </c>
      <c r="B1001" s="20" t="s">
        <v>33</v>
      </c>
      <c r="C1001" s="20">
        <v>80</v>
      </c>
      <c r="D1001" s="21" t="s">
        <v>63</v>
      </c>
      <c r="E1001" s="21" t="s">
        <v>35</v>
      </c>
      <c r="F1001" s="20">
        <v>0.35</v>
      </c>
      <c r="G1001" s="22">
        <f>C1001*F1001</f>
        <v>28</v>
      </c>
    </row>
    <row r="1002" spans="1:7" ht="15" customHeight="1">
      <c r="A1002" s="19" t="s">
        <v>162</v>
      </c>
      <c r="B1002" s="20" t="s">
        <v>36</v>
      </c>
      <c r="C1002" s="20">
        <v>83</v>
      </c>
      <c r="D1002" s="21" t="s">
        <v>59</v>
      </c>
      <c r="E1002" s="21" t="s">
        <v>38</v>
      </c>
      <c r="F1002" s="20">
        <v>0.35</v>
      </c>
      <c r="G1002" s="22">
        <f>C1002*F1002</f>
        <v>29.049999999999997</v>
      </c>
    </row>
    <row r="1003" spans="1:7" ht="15" customHeight="1">
      <c r="A1003" s="19" t="s">
        <v>163</v>
      </c>
      <c r="B1003" s="20" t="s">
        <v>8</v>
      </c>
      <c r="C1003" s="20">
        <v>61</v>
      </c>
      <c r="D1003" s="21" t="s">
        <v>9</v>
      </c>
      <c r="E1003" s="21" t="s">
        <v>10</v>
      </c>
      <c r="F1003" s="20">
        <v>0.15</v>
      </c>
      <c r="G1003" s="22">
        <f>C1003*F1003</f>
        <v>9.15</v>
      </c>
    </row>
    <row r="1004" spans="1:7" ht="15" customHeight="1">
      <c r="A1004" s="19" t="s">
        <v>163</v>
      </c>
      <c r="B1004" s="20" t="s">
        <v>11</v>
      </c>
      <c r="C1004" s="20">
        <v>62</v>
      </c>
      <c r="D1004" s="21" t="s">
        <v>15</v>
      </c>
      <c r="E1004" s="21" t="s">
        <v>13</v>
      </c>
      <c r="F1004" s="20">
        <v>0.2</v>
      </c>
      <c r="G1004" s="22">
        <f>C1004*F1004</f>
        <v>12.4</v>
      </c>
    </row>
    <row r="1005" spans="1:7" ht="15" customHeight="1">
      <c r="A1005" s="19" t="s">
        <v>163</v>
      </c>
      <c r="B1005" s="20" t="s">
        <v>14</v>
      </c>
      <c r="C1005" s="20">
        <v>65</v>
      </c>
      <c r="D1005" s="21" t="s">
        <v>41</v>
      </c>
      <c r="E1005" s="21" t="s">
        <v>13</v>
      </c>
      <c r="F1005" s="20">
        <v>0.25</v>
      </c>
      <c r="G1005" s="22">
        <f>C1005*F1005</f>
        <v>16.25</v>
      </c>
    </row>
    <row r="1006" spans="1:7" ht="15" customHeight="1">
      <c r="A1006" s="19" t="s">
        <v>163</v>
      </c>
      <c r="B1006" s="20" t="s">
        <v>16</v>
      </c>
      <c r="C1006" s="20">
        <v>62</v>
      </c>
      <c r="D1006" s="21" t="s">
        <v>17</v>
      </c>
      <c r="E1006" s="21" t="s">
        <v>18</v>
      </c>
      <c r="F1006" s="20">
        <v>0.4</v>
      </c>
      <c r="G1006" s="22">
        <f>C1006*F1006</f>
        <v>24.8</v>
      </c>
    </row>
    <row r="1007" spans="1:7" ht="15" customHeight="1">
      <c r="A1007" s="19" t="s">
        <v>163</v>
      </c>
      <c r="B1007" s="20" t="s">
        <v>19</v>
      </c>
      <c r="C1007" s="20">
        <v>61</v>
      </c>
      <c r="D1007" s="21" t="s">
        <v>20</v>
      </c>
      <c r="E1007" s="21" t="s">
        <v>21</v>
      </c>
      <c r="F1007" s="20">
        <v>0.2</v>
      </c>
      <c r="G1007" s="22">
        <f>C1007*F1007</f>
        <v>12.200000000000001</v>
      </c>
    </row>
    <row r="1008" spans="1:7" ht="15" customHeight="1">
      <c r="A1008" s="19" t="s">
        <v>163</v>
      </c>
      <c r="B1008" s="20" t="s">
        <v>22</v>
      </c>
      <c r="C1008" s="20">
        <v>63</v>
      </c>
      <c r="D1008" s="21" t="s">
        <v>23</v>
      </c>
      <c r="E1008" s="21" t="s">
        <v>24</v>
      </c>
      <c r="F1008" s="20">
        <v>0.3</v>
      </c>
      <c r="G1008" s="22">
        <f>C1008*F1008</f>
        <v>18.899999999999999</v>
      </c>
    </row>
    <row r="1009" spans="1:7" ht="15" customHeight="1">
      <c r="A1009" s="19" t="s">
        <v>163</v>
      </c>
      <c r="B1009" s="20" t="s">
        <v>25</v>
      </c>
      <c r="C1009" s="20">
        <v>60</v>
      </c>
      <c r="D1009" s="21" t="s">
        <v>50</v>
      </c>
      <c r="E1009" s="21" t="s">
        <v>27</v>
      </c>
      <c r="F1009" s="20">
        <v>0.5</v>
      </c>
      <c r="G1009" s="22">
        <f>C1009*F1009</f>
        <v>30</v>
      </c>
    </row>
    <row r="1010" spans="1:7" ht="15" customHeight="1">
      <c r="A1010" s="19" t="s">
        <v>163</v>
      </c>
      <c r="B1010" s="20" t="s">
        <v>28</v>
      </c>
      <c r="C1010" s="20">
        <v>62</v>
      </c>
      <c r="D1010" s="21" t="s">
        <v>29</v>
      </c>
      <c r="E1010" s="21" t="s">
        <v>30</v>
      </c>
      <c r="F1010" s="20">
        <v>0.1</v>
      </c>
      <c r="G1010" s="22">
        <f>C1010*F1010</f>
        <v>6.2</v>
      </c>
    </row>
    <row r="1011" spans="1:7" ht="15" customHeight="1">
      <c r="A1011" s="19" t="s">
        <v>163</v>
      </c>
      <c r="B1011" s="20" t="s">
        <v>31</v>
      </c>
      <c r="C1011" s="20">
        <v>65</v>
      </c>
      <c r="D1011" s="21" t="s">
        <v>46</v>
      </c>
      <c r="E1011" s="21" t="s">
        <v>30</v>
      </c>
      <c r="F1011" s="20">
        <v>0.2</v>
      </c>
      <c r="G1011" s="22">
        <f>C1011*F1011</f>
        <v>13</v>
      </c>
    </row>
    <row r="1012" spans="1:7" ht="15" customHeight="1">
      <c r="A1012" s="19" t="s">
        <v>163</v>
      </c>
      <c r="B1012" s="20" t="s">
        <v>33</v>
      </c>
      <c r="C1012" s="20">
        <v>64</v>
      </c>
      <c r="D1012" s="21" t="s">
        <v>34</v>
      </c>
      <c r="E1012" s="21" t="s">
        <v>35</v>
      </c>
      <c r="F1012" s="20">
        <v>0.35</v>
      </c>
      <c r="G1012" s="22">
        <f>C1012*F1012</f>
        <v>22.4</v>
      </c>
    </row>
    <row r="1013" spans="1:7" ht="15" customHeight="1">
      <c r="A1013" s="19" t="s">
        <v>163</v>
      </c>
      <c r="B1013" s="20" t="s">
        <v>36</v>
      </c>
      <c r="C1013" s="20">
        <v>59</v>
      </c>
      <c r="D1013" s="21" t="s">
        <v>48</v>
      </c>
      <c r="E1013" s="21" t="s">
        <v>38</v>
      </c>
      <c r="F1013" s="20">
        <v>0.35</v>
      </c>
      <c r="G1013" s="22">
        <f>C1013*F1013</f>
        <v>20.65</v>
      </c>
    </row>
    <row r="1014" spans="1:7" ht="15" customHeight="1">
      <c r="A1014" s="19" t="s">
        <v>164</v>
      </c>
      <c r="B1014" s="20" t="s">
        <v>8</v>
      </c>
      <c r="C1014" s="20">
        <v>61</v>
      </c>
      <c r="D1014" s="21" t="s">
        <v>9</v>
      </c>
      <c r="E1014" s="21" t="s">
        <v>10</v>
      </c>
      <c r="F1014" s="20">
        <v>0.15</v>
      </c>
      <c r="G1014" s="22">
        <f>C1014*F1014</f>
        <v>9.15</v>
      </c>
    </row>
    <row r="1015" spans="1:7" ht="15" customHeight="1">
      <c r="A1015" s="19" t="s">
        <v>164</v>
      </c>
      <c r="B1015" s="20" t="s">
        <v>11</v>
      </c>
      <c r="C1015" s="20">
        <v>67</v>
      </c>
      <c r="D1015" s="21" t="s">
        <v>41</v>
      </c>
      <c r="E1015" s="21" t="s">
        <v>13</v>
      </c>
      <c r="F1015" s="20">
        <v>0.2</v>
      </c>
      <c r="G1015" s="22">
        <f>C1015*F1015</f>
        <v>13.4</v>
      </c>
    </row>
    <row r="1016" spans="1:7" ht="15" customHeight="1">
      <c r="A1016" s="19" t="s">
        <v>164</v>
      </c>
      <c r="B1016" s="20" t="s">
        <v>14</v>
      </c>
      <c r="C1016" s="20">
        <v>61</v>
      </c>
      <c r="D1016" s="21" t="s">
        <v>15</v>
      </c>
      <c r="E1016" s="21" t="s">
        <v>13</v>
      </c>
      <c r="F1016" s="20">
        <v>0.25</v>
      </c>
      <c r="G1016" s="22">
        <f>C1016*F1016</f>
        <v>15.25</v>
      </c>
    </row>
    <row r="1017" spans="1:7" ht="15" customHeight="1">
      <c r="A1017" s="19" t="s">
        <v>164</v>
      </c>
      <c r="B1017" s="20" t="s">
        <v>16</v>
      </c>
      <c r="C1017" s="20">
        <v>65</v>
      </c>
      <c r="D1017" s="21" t="s">
        <v>42</v>
      </c>
      <c r="E1017" s="21" t="s">
        <v>18</v>
      </c>
      <c r="F1017" s="20">
        <v>0.4</v>
      </c>
      <c r="G1017" s="22">
        <f>C1017*F1017</f>
        <v>26</v>
      </c>
    </row>
    <row r="1018" spans="1:7" ht="15" customHeight="1">
      <c r="A1018" s="19" t="s">
        <v>164</v>
      </c>
      <c r="B1018" s="20" t="s">
        <v>19</v>
      </c>
      <c r="C1018" s="20">
        <v>60</v>
      </c>
      <c r="D1018" s="21" t="s">
        <v>20</v>
      </c>
      <c r="E1018" s="21" t="s">
        <v>21</v>
      </c>
      <c r="F1018" s="20">
        <v>0.2</v>
      </c>
      <c r="G1018" s="22">
        <f>C1018*F1018</f>
        <v>12</v>
      </c>
    </row>
    <row r="1019" spans="1:7" ht="15" customHeight="1">
      <c r="A1019" s="19" t="s">
        <v>164</v>
      </c>
      <c r="B1019" s="20" t="s">
        <v>22</v>
      </c>
      <c r="C1019" s="20">
        <v>66</v>
      </c>
      <c r="D1019" s="21" t="s">
        <v>44</v>
      </c>
      <c r="E1019" s="21" t="s">
        <v>24</v>
      </c>
      <c r="F1019" s="20">
        <v>0.3</v>
      </c>
      <c r="G1019" s="22">
        <f>C1019*F1019</f>
        <v>19.8</v>
      </c>
    </row>
    <row r="1020" spans="1:7" ht="15" customHeight="1">
      <c r="A1020" s="19" t="s">
        <v>164</v>
      </c>
      <c r="B1020" s="20" t="s">
        <v>25</v>
      </c>
      <c r="C1020" s="20">
        <v>65</v>
      </c>
      <c r="D1020" s="21" t="s">
        <v>45</v>
      </c>
      <c r="E1020" s="21" t="s">
        <v>27</v>
      </c>
      <c r="F1020" s="20">
        <v>0.5</v>
      </c>
      <c r="G1020" s="22">
        <f>C1020*F1020</f>
        <v>32.5</v>
      </c>
    </row>
    <row r="1021" spans="1:7" ht="15" customHeight="1">
      <c r="A1021" s="19" t="s">
        <v>164</v>
      </c>
      <c r="B1021" s="20" t="s">
        <v>28</v>
      </c>
      <c r="C1021" s="20">
        <v>65</v>
      </c>
      <c r="D1021" s="21" t="s">
        <v>46</v>
      </c>
      <c r="E1021" s="21" t="s">
        <v>30</v>
      </c>
      <c r="F1021" s="20">
        <v>0.1</v>
      </c>
      <c r="G1021" s="22">
        <f>C1021*F1021</f>
        <v>6.5</v>
      </c>
    </row>
    <row r="1022" spans="1:7" ht="15" customHeight="1">
      <c r="A1022" s="19" t="s">
        <v>164</v>
      </c>
      <c r="B1022" s="20" t="s">
        <v>31</v>
      </c>
      <c r="C1022" s="20">
        <v>67</v>
      </c>
      <c r="D1022" s="21" t="s">
        <v>46</v>
      </c>
      <c r="E1022" s="21" t="s">
        <v>30</v>
      </c>
      <c r="F1022" s="20">
        <v>0.2</v>
      </c>
      <c r="G1022" s="22">
        <f>C1022*F1022</f>
        <v>13.4</v>
      </c>
    </row>
    <row r="1023" spans="1:7" ht="15" customHeight="1">
      <c r="A1023" s="19" t="s">
        <v>164</v>
      </c>
      <c r="B1023" s="20" t="s">
        <v>33</v>
      </c>
      <c r="C1023" s="20">
        <v>64</v>
      </c>
      <c r="D1023" s="21" t="s">
        <v>34</v>
      </c>
      <c r="E1023" s="21" t="s">
        <v>35</v>
      </c>
      <c r="F1023" s="20">
        <v>0.35</v>
      </c>
      <c r="G1023" s="22">
        <f>C1023*F1023</f>
        <v>22.4</v>
      </c>
    </row>
    <row r="1024" spans="1:7" ht="15" customHeight="1">
      <c r="A1024" s="19" t="s">
        <v>164</v>
      </c>
      <c r="B1024" s="20" t="s">
        <v>36</v>
      </c>
      <c r="C1024" s="20">
        <v>67</v>
      </c>
      <c r="D1024" s="21" t="s">
        <v>51</v>
      </c>
      <c r="E1024" s="21" t="s">
        <v>38</v>
      </c>
      <c r="F1024" s="20">
        <v>0.35</v>
      </c>
      <c r="G1024" s="22">
        <f>C1024*F1024</f>
        <v>23.45</v>
      </c>
    </row>
    <row r="1025" spans="1:7" ht="15" customHeight="1">
      <c r="A1025" s="19" t="s">
        <v>165</v>
      </c>
      <c r="B1025" s="20" t="s">
        <v>8</v>
      </c>
      <c r="C1025" s="20">
        <v>62</v>
      </c>
      <c r="D1025" s="21" t="s">
        <v>9</v>
      </c>
      <c r="E1025" s="21" t="s">
        <v>10</v>
      </c>
      <c r="F1025" s="20">
        <v>0.15</v>
      </c>
      <c r="G1025" s="22">
        <f>C1025*F1025</f>
        <v>9.2999999999999989</v>
      </c>
    </row>
    <row r="1026" spans="1:7" ht="15" customHeight="1">
      <c r="A1026" s="19" t="s">
        <v>165</v>
      </c>
      <c r="B1026" s="20" t="s">
        <v>11</v>
      </c>
      <c r="C1026" s="20">
        <v>64</v>
      </c>
      <c r="D1026" s="21" t="s">
        <v>15</v>
      </c>
      <c r="E1026" s="21" t="s">
        <v>13</v>
      </c>
      <c r="F1026" s="20">
        <v>0.2</v>
      </c>
      <c r="G1026" s="22">
        <f>C1026*F1026</f>
        <v>12.8</v>
      </c>
    </row>
    <row r="1027" spans="1:7" ht="15" customHeight="1">
      <c r="A1027" s="19" t="s">
        <v>165</v>
      </c>
      <c r="B1027" s="20" t="s">
        <v>14</v>
      </c>
      <c r="C1027" s="20">
        <v>66</v>
      </c>
      <c r="D1027" s="21" t="s">
        <v>41</v>
      </c>
      <c r="E1027" s="21" t="s">
        <v>13</v>
      </c>
      <c r="F1027" s="20">
        <v>0.25</v>
      </c>
      <c r="G1027" s="22">
        <f>C1027*F1027</f>
        <v>16.5</v>
      </c>
    </row>
    <row r="1028" spans="1:7" ht="15" customHeight="1">
      <c r="A1028" s="19" t="s">
        <v>165</v>
      </c>
      <c r="B1028" s="20" t="s">
        <v>16</v>
      </c>
      <c r="C1028" s="20">
        <v>68</v>
      </c>
      <c r="D1028" s="21" t="s">
        <v>42</v>
      </c>
      <c r="E1028" s="21" t="s">
        <v>18</v>
      </c>
      <c r="F1028" s="20">
        <v>0.4</v>
      </c>
      <c r="G1028" s="22">
        <f>C1028*F1028</f>
        <v>27.200000000000003</v>
      </c>
    </row>
    <row r="1029" spans="1:7" ht="15" customHeight="1">
      <c r="A1029" s="19" t="s">
        <v>165</v>
      </c>
      <c r="B1029" s="20" t="s">
        <v>19</v>
      </c>
      <c r="C1029" s="20">
        <v>63</v>
      </c>
      <c r="D1029" s="21" t="s">
        <v>20</v>
      </c>
      <c r="E1029" s="21" t="s">
        <v>21</v>
      </c>
      <c r="F1029" s="20">
        <v>0.2</v>
      </c>
      <c r="G1029" s="22">
        <f>C1029*F1029</f>
        <v>12.600000000000001</v>
      </c>
    </row>
    <row r="1030" spans="1:7" ht="15" customHeight="1">
      <c r="A1030" s="19" t="s">
        <v>165</v>
      </c>
      <c r="B1030" s="20" t="s">
        <v>22</v>
      </c>
      <c r="C1030" s="20">
        <v>63</v>
      </c>
      <c r="D1030" s="21" t="s">
        <v>23</v>
      </c>
      <c r="E1030" s="21" t="s">
        <v>24</v>
      </c>
      <c r="F1030" s="20">
        <v>0.3</v>
      </c>
      <c r="G1030" s="22">
        <f>C1030*F1030</f>
        <v>18.899999999999999</v>
      </c>
    </row>
    <row r="1031" spans="1:7" ht="15" customHeight="1">
      <c r="A1031" s="19" t="s">
        <v>165</v>
      </c>
      <c r="B1031" s="20" t="s">
        <v>25</v>
      </c>
      <c r="C1031" s="20">
        <v>67</v>
      </c>
      <c r="D1031" s="21" t="s">
        <v>45</v>
      </c>
      <c r="E1031" s="21" t="s">
        <v>27</v>
      </c>
      <c r="F1031" s="20">
        <v>0.5</v>
      </c>
      <c r="G1031" s="22">
        <f>C1031*F1031</f>
        <v>33.5</v>
      </c>
    </row>
    <row r="1032" spans="1:7" ht="15" customHeight="1">
      <c r="A1032" s="19" t="s">
        <v>165</v>
      </c>
      <c r="B1032" s="20" t="s">
        <v>28</v>
      </c>
      <c r="C1032" s="20">
        <v>66</v>
      </c>
      <c r="D1032" s="21" t="s">
        <v>46</v>
      </c>
      <c r="E1032" s="21" t="s">
        <v>30</v>
      </c>
      <c r="F1032" s="20">
        <v>0.1</v>
      </c>
      <c r="G1032" s="22">
        <f>C1032*F1032</f>
        <v>6.6000000000000005</v>
      </c>
    </row>
    <row r="1033" spans="1:7" ht="15" customHeight="1">
      <c r="A1033" s="19" t="s">
        <v>165</v>
      </c>
      <c r="B1033" s="20" t="s">
        <v>31</v>
      </c>
      <c r="C1033" s="20">
        <v>62</v>
      </c>
      <c r="D1033" s="21" t="s">
        <v>29</v>
      </c>
      <c r="E1033" s="21" t="s">
        <v>30</v>
      </c>
      <c r="F1033" s="20">
        <v>0.2</v>
      </c>
      <c r="G1033" s="22">
        <f>C1033*F1033</f>
        <v>12.4</v>
      </c>
    </row>
    <row r="1034" spans="1:7" ht="15" customHeight="1">
      <c r="A1034" s="19" t="s">
        <v>165</v>
      </c>
      <c r="B1034" s="20" t="s">
        <v>33</v>
      </c>
      <c r="C1034" s="20">
        <v>61</v>
      </c>
      <c r="D1034" s="21" t="s">
        <v>34</v>
      </c>
      <c r="E1034" s="21" t="s">
        <v>35</v>
      </c>
      <c r="F1034" s="20">
        <v>0.35</v>
      </c>
      <c r="G1034" s="22">
        <f>C1034*F1034</f>
        <v>21.349999999999998</v>
      </c>
    </row>
    <row r="1035" spans="1:7" ht="15" customHeight="1">
      <c r="A1035" s="19" t="s">
        <v>165</v>
      </c>
      <c r="B1035" s="20" t="s">
        <v>36</v>
      </c>
      <c r="C1035" s="20">
        <v>64</v>
      </c>
      <c r="D1035" s="21" t="s">
        <v>48</v>
      </c>
      <c r="E1035" s="21" t="s">
        <v>38</v>
      </c>
      <c r="F1035" s="20">
        <v>0.35</v>
      </c>
      <c r="G1035" s="22">
        <f>C1035*F1035</f>
        <v>22.4</v>
      </c>
    </row>
    <row r="1036" spans="1:7" ht="15" customHeight="1">
      <c r="A1036" s="19" t="s">
        <v>166</v>
      </c>
      <c r="B1036" s="20" t="s">
        <v>8</v>
      </c>
      <c r="C1036" s="20">
        <v>58</v>
      </c>
      <c r="D1036" s="21" t="s">
        <v>9</v>
      </c>
      <c r="E1036" s="21" t="s">
        <v>10</v>
      </c>
      <c r="F1036" s="20">
        <v>0.15</v>
      </c>
      <c r="G1036" s="22">
        <f>C1036*F1036</f>
        <v>8.6999999999999993</v>
      </c>
    </row>
    <row r="1037" spans="1:7" ht="15" customHeight="1">
      <c r="A1037" s="19" t="s">
        <v>166</v>
      </c>
      <c r="B1037" s="20" t="s">
        <v>11</v>
      </c>
      <c r="C1037" s="20">
        <v>61</v>
      </c>
      <c r="D1037" s="21" t="s">
        <v>15</v>
      </c>
      <c r="E1037" s="21" t="s">
        <v>13</v>
      </c>
      <c r="F1037" s="20">
        <v>0.2</v>
      </c>
      <c r="G1037" s="22">
        <f>C1037*F1037</f>
        <v>12.200000000000001</v>
      </c>
    </row>
    <row r="1038" spans="1:7" ht="15" customHeight="1">
      <c r="A1038" s="19" t="s">
        <v>166</v>
      </c>
      <c r="B1038" s="20" t="s">
        <v>14</v>
      </c>
      <c r="C1038" s="20">
        <v>56</v>
      </c>
      <c r="D1038" s="21" t="s">
        <v>15</v>
      </c>
      <c r="E1038" s="21" t="s">
        <v>13</v>
      </c>
      <c r="F1038" s="20">
        <v>0.25</v>
      </c>
      <c r="G1038" s="22">
        <f>C1038*F1038</f>
        <v>14</v>
      </c>
    </row>
    <row r="1039" spans="1:7" ht="15" customHeight="1">
      <c r="A1039" s="19" t="s">
        <v>166</v>
      </c>
      <c r="B1039" s="20" t="s">
        <v>16</v>
      </c>
      <c r="C1039" s="20">
        <v>58</v>
      </c>
      <c r="D1039" s="21" t="s">
        <v>17</v>
      </c>
      <c r="E1039" s="21" t="s">
        <v>18</v>
      </c>
      <c r="F1039" s="20">
        <v>0.4</v>
      </c>
      <c r="G1039" s="22">
        <f>C1039*F1039</f>
        <v>23.200000000000003</v>
      </c>
    </row>
    <row r="1040" spans="1:7" ht="15" customHeight="1">
      <c r="A1040" s="19" t="s">
        <v>166</v>
      </c>
      <c r="B1040" s="20" t="s">
        <v>19</v>
      </c>
      <c r="C1040" s="20">
        <v>59</v>
      </c>
      <c r="D1040" s="21" t="s">
        <v>20</v>
      </c>
      <c r="E1040" s="21" t="s">
        <v>21</v>
      </c>
      <c r="F1040" s="20">
        <v>0.2</v>
      </c>
      <c r="G1040" s="22">
        <f>C1040*F1040</f>
        <v>11.8</v>
      </c>
    </row>
    <row r="1041" spans="1:7" ht="15" customHeight="1">
      <c r="A1041" s="19" t="s">
        <v>166</v>
      </c>
      <c r="B1041" s="20" t="s">
        <v>22</v>
      </c>
      <c r="C1041" s="20">
        <v>62</v>
      </c>
      <c r="D1041" s="21" t="s">
        <v>23</v>
      </c>
      <c r="E1041" s="21" t="s">
        <v>24</v>
      </c>
      <c r="F1041" s="20">
        <v>0.3</v>
      </c>
      <c r="G1041" s="22">
        <f>C1041*F1041</f>
        <v>18.599999999999998</v>
      </c>
    </row>
    <row r="1042" spans="1:7" ht="15" customHeight="1">
      <c r="A1042" s="19" t="s">
        <v>166</v>
      </c>
      <c r="B1042" s="20" t="s">
        <v>25</v>
      </c>
      <c r="C1042" s="20">
        <v>62</v>
      </c>
      <c r="D1042" s="21" t="s">
        <v>50</v>
      </c>
      <c r="E1042" s="21" t="s">
        <v>27</v>
      </c>
      <c r="F1042" s="20">
        <v>0.5</v>
      </c>
      <c r="G1042" s="22">
        <f>C1042*F1042</f>
        <v>31</v>
      </c>
    </row>
    <row r="1043" spans="1:7" ht="15" customHeight="1">
      <c r="A1043" s="19" t="s">
        <v>166</v>
      </c>
      <c r="B1043" s="20" t="s">
        <v>28</v>
      </c>
      <c r="C1043" s="20">
        <v>60</v>
      </c>
      <c r="D1043" s="21" t="s">
        <v>29</v>
      </c>
      <c r="E1043" s="21" t="s">
        <v>30</v>
      </c>
      <c r="F1043" s="20">
        <v>0.1</v>
      </c>
      <c r="G1043" s="22">
        <f>C1043*F1043</f>
        <v>6</v>
      </c>
    </row>
    <row r="1044" spans="1:7" ht="15" customHeight="1">
      <c r="A1044" s="19" t="s">
        <v>166</v>
      </c>
      <c r="B1044" s="20" t="s">
        <v>31</v>
      </c>
      <c r="C1044" s="20">
        <v>60</v>
      </c>
      <c r="D1044" s="21" t="s">
        <v>29</v>
      </c>
      <c r="E1044" s="21" t="s">
        <v>30</v>
      </c>
      <c r="F1044" s="20">
        <v>0.2</v>
      </c>
      <c r="G1044" s="22">
        <f>C1044*F1044</f>
        <v>12</v>
      </c>
    </row>
    <row r="1045" spans="1:7" ht="15" customHeight="1">
      <c r="A1045" s="19" t="s">
        <v>166</v>
      </c>
      <c r="B1045" s="20" t="s">
        <v>33</v>
      </c>
      <c r="C1045" s="20">
        <v>61</v>
      </c>
      <c r="D1045" s="21" t="s">
        <v>34</v>
      </c>
      <c r="E1045" s="21" t="s">
        <v>35</v>
      </c>
      <c r="F1045" s="20">
        <v>0.35</v>
      </c>
      <c r="G1045" s="22">
        <f>C1045*F1045</f>
        <v>21.349999999999998</v>
      </c>
    </row>
    <row r="1046" spans="1:7" ht="15" customHeight="1">
      <c r="A1046" s="19" t="s">
        <v>166</v>
      </c>
      <c r="B1046" s="20" t="s">
        <v>36</v>
      </c>
      <c r="C1046" s="20">
        <v>64</v>
      </c>
      <c r="D1046" s="21" t="s">
        <v>48</v>
      </c>
      <c r="E1046" s="21" t="s">
        <v>38</v>
      </c>
      <c r="F1046" s="20">
        <v>0.35</v>
      </c>
      <c r="G1046" s="22">
        <f>C1046*F1046</f>
        <v>22.4</v>
      </c>
    </row>
    <row r="1047" spans="1:7" ht="15" customHeight="1">
      <c r="A1047" s="19" t="s">
        <v>167</v>
      </c>
      <c r="B1047" s="20" t="s">
        <v>8</v>
      </c>
      <c r="C1047" s="20">
        <v>57</v>
      </c>
      <c r="D1047" s="21" t="s">
        <v>9</v>
      </c>
      <c r="E1047" s="21" t="s">
        <v>10</v>
      </c>
      <c r="F1047" s="20">
        <v>0.15</v>
      </c>
      <c r="G1047" s="22">
        <f>C1047*F1047</f>
        <v>8.5499999999999989</v>
      </c>
    </row>
    <row r="1048" spans="1:7" ht="15" customHeight="1">
      <c r="A1048" s="19" t="s">
        <v>167</v>
      </c>
      <c r="B1048" s="20" t="s">
        <v>11</v>
      </c>
      <c r="C1048" s="20">
        <v>58</v>
      </c>
      <c r="D1048" s="21" t="s">
        <v>15</v>
      </c>
      <c r="E1048" s="21" t="s">
        <v>13</v>
      </c>
      <c r="F1048" s="20">
        <v>0.2</v>
      </c>
      <c r="G1048" s="22">
        <f>C1048*F1048</f>
        <v>11.600000000000001</v>
      </c>
    </row>
    <row r="1049" spans="1:7" ht="15" customHeight="1">
      <c r="A1049" s="19" t="s">
        <v>167</v>
      </c>
      <c r="B1049" s="20" t="s">
        <v>14</v>
      </c>
      <c r="C1049" s="20">
        <v>56</v>
      </c>
      <c r="D1049" s="21" t="s">
        <v>15</v>
      </c>
      <c r="E1049" s="21" t="s">
        <v>13</v>
      </c>
      <c r="F1049" s="20">
        <v>0.25</v>
      </c>
      <c r="G1049" s="22">
        <f>C1049*F1049</f>
        <v>14</v>
      </c>
    </row>
    <row r="1050" spans="1:7" ht="15" customHeight="1">
      <c r="A1050" s="19" t="s">
        <v>167</v>
      </c>
      <c r="B1050" s="20" t="s">
        <v>16</v>
      </c>
      <c r="C1050" s="20">
        <v>56</v>
      </c>
      <c r="D1050" s="21" t="s">
        <v>17</v>
      </c>
      <c r="E1050" s="21" t="s">
        <v>18</v>
      </c>
      <c r="F1050" s="20">
        <v>0.4</v>
      </c>
      <c r="G1050" s="22">
        <f>C1050*F1050</f>
        <v>22.400000000000002</v>
      </c>
    </row>
    <row r="1051" spans="1:7" ht="15" customHeight="1">
      <c r="A1051" s="19" t="s">
        <v>167</v>
      </c>
      <c r="B1051" s="20" t="s">
        <v>19</v>
      </c>
      <c r="C1051" s="20">
        <v>54</v>
      </c>
      <c r="D1051" s="21" t="s">
        <v>20</v>
      </c>
      <c r="E1051" s="21" t="s">
        <v>21</v>
      </c>
      <c r="F1051" s="20">
        <v>0.2</v>
      </c>
      <c r="G1051" s="22">
        <f>C1051*F1051</f>
        <v>10.8</v>
      </c>
    </row>
    <row r="1052" spans="1:7" ht="15" customHeight="1">
      <c r="A1052" s="19" t="s">
        <v>167</v>
      </c>
      <c r="B1052" s="20" t="s">
        <v>22</v>
      </c>
      <c r="C1052" s="20">
        <v>60</v>
      </c>
      <c r="D1052" s="21" t="s">
        <v>23</v>
      </c>
      <c r="E1052" s="21" t="s">
        <v>24</v>
      </c>
      <c r="F1052" s="20">
        <v>0.3</v>
      </c>
      <c r="G1052" s="22">
        <f>C1052*F1052</f>
        <v>18</v>
      </c>
    </row>
    <row r="1053" spans="1:7" ht="15" customHeight="1">
      <c r="A1053" s="19" t="s">
        <v>167</v>
      </c>
      <c r="B1053" s="20" t="s">
        <v>25</v>
      </c>
      <c r="C1053" s="20">
        <v>59</v>
      </c>
      <c r="D1053" s="21" t="s">
        <v>50</v>
      </c>
      <c r="E1053" s="21" t="s">
        <v>27</v>
      </c>
      <c r="F1053" s="20">
        <v>0.5</v>
      </c>
      <c r="G1053" s="22">
        <f>C1053*F1053</f>
        <v>29.5</v>
      </c>
    </row>
    <row r="1054" spans="1:7" ht="15" customHeight="1">
      <c r="A1054" s="19" t="s">
        <v>167</v>
      </c>
      <c r="B1054" s="20" t="s">
        <v>28</v>
      </c>
      <c r="C1054" s="20">
        <v>59</v>
      </c>
      <c r="D1054" s="21" t="s">
        <v>29</v>
      </c>
      <c r="E1054" s="21" t="s">
        <v>30</v>
      </c>
      <c r="F1054" s="20">
        <v>0.1</v>
      </c>
      <c r="G1054" s="22">
        <f>C1054*F1054</f>
        <v>5.9</v>
      </c>
    </row>
    <row r="1055" spans="1:7" ht="15" customHeight="1">
      <c r="A1055" s="19" t="s">
        <v>167</v>
      </c>
      <c r="B1055" s="20" t="s">
        <v>31</v>
      </c>
      <c r="C1055" s="20">
        <v>57</v>
      </c>
      <c r="D1055" s="21" t="s">
        <v>29</v>
      </c>
      <c r="E1055" s="21" t="s">
        <v>30</v>
      </c>
      <c r="F1055" s="20">
        <v>0.2</v>
      </c>
      <c r="G1055" s="22">
        <f>C1055*F1055</f>
        <v>11.4</v>
      </c>
    </row>
    <row r="1056" spans="1:7" ht="15" customHeight="1">
      <c r="A1056" s="19" t="s">
        <v>167</v>
      </c>
      <c r="B1056" s="20" t="s">
        <v>33</v>
      </c>
      <c r="C1056" s="20">
        <v>56</v>
      </c>
      <c r="D1056" s="21" t="s">
        <v>34</v>
      </c>
      <c r="E1056" s="21" t="s">
        <v>35</v>
      </c>
      <c r="F1056" s="20">
        <v>0.35</v>
      </c>
      <c r="G1056" s="22">
        <f>C1056*F1056</f>
        <v>19.599999999999998</v>
      </c>
    </row>
    <row r="1057" spans="1:7" ht="15" customHeight="1">
      <c r="A1057" s="19" t="s">
        <v>167</v>
      </c>
      <c r="B1057" s="20" t="s">
        <v>36</v>
      </c>
      <c r="C1057" s="20">
        <v>57</v>
      </c>
      <c r="D1057" s="21" t="s">
        <v>48</v>
      </c>
      <c r="E1057" s="21" t="s">
        <v>38</v>
      </c>
      <c r="F1057" s="20">
        <v>0.35</v>
      </c>
      <c r="G1057" s="22">
        <f>C1057*F1057</f>
        <v>19.95</v>
      </c>
    </row>
    <row r="1058" spans="1:7" ht="15" customHeight="1">
      <c r="A1058" s="19" t="s">
        <v>168</v>
      </c>
      <c r="B1058" s="20" t="s">
        <v>8</v>
      </c>
      <c r="C1058" s="20">
        <v>74</v>
      </c>
      <c r="D1058" s="21" t="s">
        <v>40</v>
      </c>
      <c r="E1058" s="21" t="s">
        <v>10</v>
      </c>
      <c r="F1058" s="20">
        <v>0.15</v>
      </c>
      <c r="G1058" s="22">
        <f>C1058*F1058</f>
        <v>11.1</v>
      </c>
    </row>
    <row r="1059" spans="1:7" ht="15" customHeight="1">
      <c r="A1059" s="19" t="s">
        <v>168</v>
      </c>
      <c r="B1059" s="20" t="s">
        <v>11</v>
      </c>
      <c r="C1059" s="20">
        <v>72</v>
      </c>
      <c r="D1059" s="21" t="s">
        <v>41</v>
      </c>
      <c r="E1059" s="21" t="s">
        <v>13</v>
      </c>
      <c r="F1059" s="20">
        <v>0.2</v>
      </c>
      <c r="G1059" s="22">
        <f>C1059*F1059</f>
        <v>14.4</v>
      </c>
    </row>
    <row r="1060" spans="1:7" ht="15" customHeight="1">
      <c r="A1060" s="19" t="s">
        <v>168</v>
      </c>
      <c r="B1060" s="20" t="s">
        <v>14</v>
      </c>
      <c r="C1060" s="20">
        <v>75</v>
      </c>
      <c r="D1060" s="21" t="s">
        <v>61</v>
      </c>
      <c r="E1060" s="21" t="s">
        <v>13</v>
      </c>
      <c r="F1060" s="20">
        <v>0.25</v>
      </c>
      <c r="G1060" s="22">
        <f>C1060*F1060</f>
        <v>18.75</v>
      </c>
    </row>
    <row r="1061" spans="1:7" ht="15" customHeight="1">
      <c r="A1061" s="19" t="s">
        <v>168</v>
      </c>
      <c r="B1061" s="20" t="s">
        <v>16</v>
      </c>
      <c r="C1061" s="20">
        <v>73</v>
      </c>
      <c r="D1061" s="21" t="s">
        <v>42</v>
      </c>
      <c r="E1061" s="21" t="s">
        <v>18</v>
      </c>
      <c r="F1061" s="20">
        <v>0.4</v>
      </c>
      <c r="G1061" s="22">
        <f>C1061*F1061</f>
        <v>29.200000000000003</v>
      </c>
    </row>
    <row r="1062" spans="1:7" ht="15" customHeight="1">
      <c r="A1062" s="19" t="s">
        <v>168</v>
      </c>
      <c r="B1062" s="20" t="s">
        <v>19</v>
      </c>
      <c r="C1062" s="20">
        <v>77</v>
      </c>
      <c r="D1062" s="21" t="s">
        <v>66</v>
      </c>
      <c r="E1062" s="21" t="s">
        <v>21</v>
      </c>
      <c r="F1062" s="20">
        <v>0.2</v>
      </c>
      <c r="G1062" s="22">
        <f>C1062*F1062</f>
        <v>15.4</v>
      </c>
    </row>
    <row r="1063" spans="1:7" ht="15" customHeight="1">
      <c r="A1063" s="19" t="s">
        <v>168</v>
      </c>
      <c r="B1063" s="20" t="s">
        <v>22</v>
      </c>
      <c r="C1063" s="20">
        <v>75</v>
      </c>
      <c r="D1063" s="21" t="s">
        <v>58</v>
      </c>
      <c r="E1063" s="21" t="s">
        <v>24</v>
      </c>
      <c r="F1063" s="20">
        <v>0.3</v>
      </c>
      <c r="G1063" s="22">
        <f>C1063*F1063</f>
        <v>22.5</v>
      </c>
    </row>
    <row r="1064" spans="1:7" ht="15" customHeight="1">
      <c r="A1064" s="19" t="s">
        <v>168</v>
      </c>
      <c r="B1064" s="20" t="s">
        <v>25</v>
      </c>
      <c r="C1064" s="20">
        <v>76</v>
      </c>
      <c r="D1064" s="21" t="s">
        <v>67</v>
      </c>
      <c r="E1064" s="21" t="s">
        <v>27</v>
      </c>
      <c r="F1064" s="20">
        <v>0.5</v>
      </c>
      <c r="G1064" s="22">
        <f>C1064*F1064</f>
        <v>38</v>
      </c>
    </row>
    <row r="1065" spans="1:7" ht="15" customHeight="1">
      <c r="A1065" s="19" t="s">
        <v>168</v>
      </c>
      <c r="B1065" s="20" t="s">
        <v>28</v>
      </c>
      <c r="C1065" s="20">
        <v>75</v>
      </c>
      <c r="D1065" s="21" t="s">
        <v>62</v>
      </c>
      <c r="E1065" s="21" t="s">
        <v>30</v>
      </c>
      <c r="F1065" s="20">
        <v>0.1</v>
      </c>
      <c r="G1065" s="22">
        <f>C1065*F1065</f>
        <v>7.5</v>
      </c>
    </row>
    <row r="1066" spans="1:7" ht="15" customHeight="1">
      <c r="A1066" s="19" t="s">
        <v>168</v>
      </c>
      <c r="B1066" s="20" t="s">
        <v>31</v>
      </c>
      <c r="C1066" s="20">
        <v>80</v>
      </c>
      <c r="D1066" s="21" t="s">
        <v>62</v>
      </c>
      <c r="E1066" s="21" t="s">
        <v>30</v>
      </c>
      <c r="F1066" s="20">
        <v>0.2</v>
      </c>
      <c r="G1066" s="22">
        <f>C1066*F1066</f>
        <v>16</v>
      </c>
    </row>
    <row r="1067" spans="1:7" ht="15" customHeight="1">
      <c r="A1067" s="19" t="s">
        <v>168</v>
      </c>
      <c r="B1067" s="20" t="s">
        <v>33</v>
      </c>
      <c r="C1067" s="20">
        <v>75</v>
      </c>
      <c r="D1067" s="21" t="s">
        <v>63</v>
      </c>
      <c r="E1067" s="21" t="s">
        <v>35</v>
      </c>
      <c r="F1067" s="20">
        <v>0.35</v>
      </c>
      <c r="G1067" s="22">
        <f>C1067*F1067</f>
        <v>26.25</v>
      </c>
    </row>
    <row r="1068" spans="1:7" ht="15" customHeight="1">
      <c r="A1068" s="19" t="s">
        <v>168</v>
      </c>
      <c r="B1068" s="20" t="s">
        <v>36</v>
      </c>
      <c r="C1068" s="20">
        <v>77</v>
      </c>
      <c r="D1068" s="21" t="s">
        <v>59</v>
      </c>
      <c r="E1068" s="21" t="s">
        <v>38</v>
      </c>
      <c r="F1068" s="20">
        <v>0.35</v>
      </c>
      <c r="G1068" s="22">
        <f>C1068*F1068</f>
        <v>26.95</v>
      </c>
    </row>
    <row r="1069" spans="1:7" ht="15" customHeight="1">
      <c r="A1069" s="19" t="s">
        <v>169</v>
      </c>
      <c r="B1069" s="20" t="s">
        <v>8</v>
      </c>
      <c r="C1069" s="20">
        <v>80</v>
      </c>
      <c r="D1069" s="21" t="s">
        <v>56</v>
      </c>
      <c r="E1069" s="21" t="s">
        <v>10</v>
      </c>
      <c r="F1069" s="20">
        <v>0.15</v>
      </c>
      <c r="G1069" s="22">
        <f>C1069*F1069</f>
        <v>12</v>
      </c>
    </row>
    <row r="1070" spans="1:7" ht="15" customHeight="1">
      <c r="A1070" s="19" t="s">
        <v>169</v>
      </c>
      <c r="B1070" s="20" t="s">
        <v>11</v>
      </c>
      <c r="C1070" s="20">
        <v>78</v>
      </c>
      <c r="D1070" s="21" t="s">
        <v>61</v>
      </c>
      <c r="E1070" s="21" t="s">
        <v>13</v>
      </c>
      <c r="F1070" s="20">
        <v>0.2</v>
      </c>
      <c r="G1070" s="22">
        <f>C1070*F1070</f>
        <v>15.600000000000001</v>
      </c>
    </row>
    <row r="1071" spans="1:7" ht="15" customHeight="1">
      <c r="A1071" s="19" t="s">
        <v>169</v>
      </c>
      <c r="B1071" s="20" t="s">
        <v>14</v>
      </c>
      <c r="C1071" s="20">
        <v>84</v>
      </c>
      <c r="D1071" s="21" t="s">
        <v>61</v>
      </c>
      <c r="E1071" s="21" t="s">
        <v>13</v>
      </c>
      <c r="F1071" s="20">
        <v>0.25</v>
      </c>
      <c r="G1071" s="22">
        <f>C1071*F1071</f>
        <v>21</v>
      </c>
    </row>
    <row r="1072" spans="1:7" ht="15" customHeight="1">
      <c r="A1072" s="19" t="s">
        <v>169</v>
      </c>
      <c r="B1072" s="20" t="s">
        <v>16</v>
      </c>
      <c r="C1072" s="20">
        <v>81</v>
      </c>
      <c r="D1072" s="21" t="s">
        <v>57</v>
      </c>
      <c r="E1072" s="21" t="s">
        <v>18</v>
      </c>
      <c r="F1072" s="20">
        <v>0.4</v>
      </c>
      <c r="G1072" s="22">
        <f>C1072*F1072</f>
        <v>32.4</v>
      </c>
    </row>
    <row r="1073" spans="1:7" ht="15" customHeight="1">
      <c r="A1073" s="19" t="s">
        <v>169</v>
      </c>
      <c r="B1073" s="20" t="s">
        <v>19</v>
      </c>
      <c r="C1073" s="20">
        <v>74</v>
      </c>
      <c r="D1073" s="21" t="s">
        <v>43</v>
      </c>
      <c r="E1073" s="21" t="s">
        <v>21</v>
      </c>
      <c r="F1073" s="20">
        <v>0.2</v>
      </c>
      <c r="G1073" s="22">
        <f>C1073*F1073</f>
        <v>14.8</v>
      </c>
    </row>
    <row r="1074" spans="1:7" ht="15" customHeight="1">
      <c r="A1074" s="19" t="s">
        <v>169</v>
      </c>
      <c r="B1074" s="20" t="s">
        <v>22</v>
      </c>
      <c r="C1074" s="20">
        <v>74</v>
      </c>
      <c r="D1074" s="21" t="s">
        <v>44</v>
      </c>
      <c r="E1074" s="21" t="s">
        <v>24</v>
      </c>
      <c r="F1074" s="20">
        <v>0.3</v>
      </c>
      <c r="G1074" s="22">
        <f>C1074*F1074</f>
        <v>22.2</v>
      </c>
    </row>
    <row r="1075" spans="1:7" ht="15" customHeight="1">
      <c r="A1075" s="19" t="s">
        <v>169</v>
      </c>
      <c r="B1075" s="20" t="s">
        <v>25</v>
      </c>
      <c r="C1075" s="20">
        <v>76</v>
      </c>
      <c r="D1075" s="21" t="s">
        <v>67</v>
      </c>
      <c r="E1075" s="21" t="s">
        <v>27</v>
      </c>
      <c r="F1075" s="20">
        <v>0.5</v>
      </c>
      <c r="G1075" s="22">
        <f>C1075*F1075</f>
        <v>38</v>
      </c>
    </row>
    <row r="1076" spans="1:7" ht="15" customHeight="1">
      <c r="A1076" s="19" t="s">
        <v>169</v>
      </c>
      <c r="B1076" s="20" t="s">
        <v>28</v>
      </c>
      <c r="C1076" s="20">
        <v>84</v>
      </c>
      <c r="D1076" s="21" t="s">
        <v>62</v>
      </c>
      <c r="E1076" s="21" t="s">
        <v>30</v>
      </c>
      <c r="F1076" s="20">
        <v>0.1</v>
      </c>
      <c r="G1076" s="22">
        <f>C1076*F1076</f>
        <v>8.4</v>
      </c>
    </row>
    <row r="1077" spans="1:7" ht="15" customHeight="1">
      <c r="A1077" s="19" t="s">
        <v>169</v>
      </c>
      <c r="B1077" s="20" t="s">
        <v>31</v>
      </c>
      <c r="C1077" s="20">
        <v>82</v>
      </c>
      <c r="D1077" s="21" t="s">
        <v>62</v>
      </c>
      <c r="E1077" s="21" t="s">
        <v>30</v>
      </c>
      <c r="F1077" s="20">
        <v>0.2</v>
      </c>
      <c r="G1077" s="22">
        <f>C1077*F1077</f>
        <v>16.400000000000002</v>
      </c>
    </row>
    <row r="1078" spans="1:7" ht="15" customHeight="1">
      <c r="A1078" s="19" t="s">
        <v>169</v>
      </c>
      <c r="B1078" s="20" t="s">
        <v>33</v>
      </c>
      <c r="C1078" s="20">
        <v>85</v>
      </c>
      <c r="D1078" s="21" t="s">
        <v>98</v>
      </c>
      <c r="E1078" s="21" t="s">
        <v>35</v>
      </c>
      <c r="F1078" s="20">
        <v>0.35</v>
      </c>
      <c r="G1078" s="22">
        <f>C1078*F1078</f>
        <v>29.749999999999996</v>
      </c>
    </row>
    <row r="1079" spans="1:7" ht="15" customHeight="1">
      <c r="A1079" s="19" t="s">
        <v>169</v>
      </c>
      <c r="B1079" s="20" t="s">
        <v>36</v>
      </c>
      <c r="C1079" s="20">
        <v>80</v>
      </c>
      <c r="D1079" s="21" t="s">
        <v>59</v>
      </c>
      <c r="E1079" s="21" t="s">
        <v>38</v>
      </c>
      <c r="F1079" s="20">
        <v>0.35</v>
      </c>
      <c r="G1079" s="22">
        <f>C1079*F1079</f>
        <v>28</v>
      </c>
    </row>
    <row r="1080" spans="1:7" ht="15" customHeight="1">
      <c r="A1080" s="19" t="s">
        <v>170</v>
      </c>
      <c r="B1080" s="20" t="s">
        <v>8</v>
      </c>
      <c r="C1080" s="20">
        <v>66</v>
      </c>
      <c r="D1080" s="21" t="s">
        <v>40</v>
      </c>
      <c r="E1080" s="21" t="s">
        <v>10</v>
      </c>
      <c r="F1080" s="20">
        <v>0.15</v>
      </c>
      <c r="G1080" s="22">
        <f>C1080*F1080</f>
        <v>9.9</v>
      </c>
    </row>
    <row r="1081" spans="1:7" ht="15" customHeight="1">
      <c r="A1081" s="19" t="s">
        <v>170</v>
      </c>
      <c r="B1081" s="20" t="s">
        <v>11</v>
      </c>
      <c r="C1081" s="20">
        <v>64</v>
      </c>
      <c r="D1081" s="21" t="s">
        <v>15</v>
      </c>
      <c r="E1081" s="21" t="s">
        <v>13</v>
      </c>
      <c r="F1081" s="20">
        <v>0.2</v>
      </c>
      <c r="G1081" s="22">
        <f>C1081*F1081</f>
        <v>12.8</v>
      </c>
    </row>
    <row r="1082" spans="1:7" ht="15" customHeight="1">
      <c r="A1082" s="19" t="s">
        <v>170</v>
      </c>
      <c r="B1082" s="20" t="s">
        <v>14</v>
      </c>
      <c r="C1082" s="20">
        <v>64</v>
      </c>
      <c r="D1082" s="21" t="s">
        <v>15</v>
      </c>
      <c r="E1082" s="21" t="s">
        <v>13</v>
      </c>
      <c r="F1082" s="20">
        <v>0.25</v>
      </c>
      <c r="G1082" s="22">
        <f>C1082*F1082</f>
        <v>16</v>
      </c>
    </row>
    <row r="1083" spans="1:7" ht="15" customHeight="1">
      <c r="A1083" s="19" t="s">
        <v>170</v>
      </c>
      <c r="B1083" s="20" t="s">
        <v>16</v>
      </c>
      <c r="C1083" s="20">
        <v>61</v>
      </c>
      <c r="D1083" s="21" t="s">
        <v>17</v>
      </c>
      <c r="E1083" s="21" t="s">
        <v>18</v>
      </c>
      <c r="F1083" s="20">
        <v>0.4</v>
      </c>
      <c r="G1083" s="22">
        <f>C1083*F1083</f>
        <v>24.400000000000002</v>
      </c>
    </row>
    <row r="1084" spans="1:7" ht="15" customHeight="1">
      <c r="A1084" s="19" t="s">
        <v>170</v>
      </c>
      <c r="B1084" s="20" t="s">
        <v>19</v>
      </c>
      <c r="C1084" s="20">
        <v>63</v>
      </c>
      <c r="D1084" s="21" t="s">
        <v>20</v>
      </c>
      <c r="E1084" s="21" t="s">
        <v>21</v>
      </c>
      <c r="F1084" s="20">
        <v>0.2</v>
      </c>
      <c r="G1084" s="22">
        <f>C1084*F1084</f>
        <v>12.600000000000001</v>
      </c>
    </row>
    <row r="1085" spans="1:7" ht="15" customHeight="1">
      <c r="A1085" s="19" t="s">
        <v>170</v>
      </c>
      <c r="B1085" s="20" t="s">
        <v>22</v>
      </c>
      <c r="C1085" s="20">
        <v>60</v>
      </c>
      <c r="D1085" s="21" t="s">
        <v>23</v>
      </c>
      <c r="E1085" s="21" t="s">
        <v>24</v>
      </c>
      <c r="F1085" s="20">
        <v>0.3</v>
      </c>
      <c r="G1085" s="22">
        <f>C1085*F1085</f>
        <v>18</v>
      </c>
    </row>
    <row r="1086" spans="1:7" ht="15" customHeight="1">
      <c r="A1086" s="19" t="s">
        <v>170</v>
      </c>
      <c r="B1086" s="20" t="s">
        <v>25</v>
      </c>
      <c r="C1086" s="20">
        <v>63</v>
      </c>
      <c r="D1086" s="21" t="s">
        <v>50</v>
      </c>
      <c r="E1086" s="21" t="s">
        <v>27</v>
      </c>
      <c r="F1086" s="20">
        <v>0.5</v>
      </c>
      <c r="G1086" s="22">
        <f>C1086*F1086</f>
        <v>31.5</v>
      </c>
    </row>
    <row r="1087" spans="1:7" ht="15" customHeight="1">
      <c r="A1087" s="19" t="s">
        <v>170</v>
      </c>
      <c r="B1087" s="20" t="s">
        <v>28</v>
      </c>
      <c r="C1087" s="20">
        <v>58</v>
      </c>
      <c r="D1087" s="21" t="s">
        <v>29</v>
      </c>
      <c r="E1087" s="21" t="s">
        <v>30</v>
      </c>
      <c r="F1087" s="20">
        <v>0.1</v>
      </c>
      <c r="G1087" s="22">
        <f>C1087*F1087</f>
        <v>5.8000000000000007</v>
      </c>
    </row>
    <row r="1088" spans="1:7" ht="15" customHeight="1">
      <c r="A1088" s="19" t="s">
        <v>170</v>
      </c>
      <c r="B1088" s="20" t="s">
        <v>31</v>
      </c>
      <c r="C1088" s="20">
        <v>59</v>
      </c>
      <c r="D1088" s="21" t="s">
        <v>29</v>
      </c>
      <c r="E1088" s="21" t="s">
        <v>30</v>
      </c>
      <c r="F1088" s="20">
        <v>0.2</v>
      </c>
      <c r="G1088" s="22">
        <f>C1088*F1088</f>
        <v>11.8</v>
      </c>
    </row>
    <row r="1089" spans="1:7" ht="15" customHeight="1">
      <c r="A1089" s="19" t="s">
        <v>170</v>
      </c>
      <c r="B1089" s="20" t="s">
        <v>33</v>
      </c>
      <c r="C1089" s="20">
        <v>59</v>
      </c>
      <c r="D1089" s="21" t="s">
        <v>34</v>
      </c>
      <c r="E1089" s="21" t="s">
        <v>35</v>
      </c>
      <c r="F1089" s="20">
        <v>0.35</v>
      </c>
      <c r="G1089" s="22">
        <f>C1089*F1089</f>
        <v>20.65</v>
      </c>
    </row>
    <row r="1090" spans="1:7" ht="15" customHeight="1">
      <c r="A1090" s="19" t="s">
        <v>170</v>
      </c>
      <c r="B1090" s="20" t="s">
        <v>36</v>
      </c>
      <c r="C1090" s="20">
        <v>61</v>
      </c>
      <c r="D1090" s="21" t="s">
        <v>48</v>
      </c>
      <c r="E1090" s="21" t="s">
        <v>38</v>
      </c>
      <c r="F1090" s="20">
        <v>0.35</v>
      </c>
      <c r="G1090" s="22">
        <f>C1090*F1090</f>
        <v>21.349999999999998</v>
      </c>
    </row>
    <row r="1091" spans="1:7" ht="15" customHeight="1">
      <c r="A1091" s="19" t="s">
        <v>171</v>
      </c>
      <c r="B1091" s="20" t="s">
        <v>8</v>
      </c>
      <c r="C1091" s="20">
        <v>57</v>
      </c>
      <c r="D1091" s="21" t="s">
        <v>9</v>
      </c>
      <c r="E1091" s="21" t="s">
        <v>10</v>
      </c>
      <c r="F1091" s="20">
        <v>0.15</v>
      </c>
      <c r="G1091" s="22">
        <f>C1091*F1091</f>
        <v>8.5499999999999989</v>
      </c>
    </row>
    <row r="1092" spans="1:7" ht="15" customHeight="1">
      <c r="A1092" s="19" t="s">
        <v>171</v>
      </c>
      <c r="B1092" s="20" t="s">
        <v>11</v>
      </c>
      <c r="C1092" s="20">
        <v>61</v>
      </c>
      <c r="D1092" s="21" t="s">
        <v>15</v>
      </c>
      <c r="E1092" s="21" t="s">
        <v>13</v>
      </c>
      <c r="F1092" s="20">
        <v>0.2</v>
      </c>
      <c r="G1092" s="22">
        <f>C1092*F1092</f>
        <v>12.200000000000001</v>
      </c>
    </row>
    <row r="1093" spans="1:7" ht="15" customHeight="1">
      <c r="A1093" s="19" t="s">
        <v>171</v>
      </c>
      <c r="B1093" s="20" t="s">
        <v>14</v>
      </c>
      <c r="C1093" s="20">
        <v>57</v>
      </c>
      <c r="D1093" s="21" t="s">
        <v>15</v>
      </c>
      <c r="E1093" s="21" t="s">
        <v>13</v>
      </c>
      <c r="F1093" s="20">
        <v>0.25</v>
      </c>
      <c r="G1093" s="22">
        <f>C1093*F1093</f>
        <v>14.25</v>
      </c>
    </row>
    <row r="1094" spans="1:7" ht="15" customHeight="1">
      <c r="A1094" s="19" t="s">
        <v>171</v>
      </c>
      <c r="B1094" s="20" t="s">
        <v>16</v>
      </c>
      <c r="C1094" s="20">
        <v>59</v>
      </c>
      <c r="D1094" s="21" t="s">
        <v>17</v>
      </c>
      <c r="E1094" s="21" t="s">
        <v>18</v>
      </c>
      <c r="F1094" s="20">
        <v>0.4</v>
      </c>
      <c r="G1094" s="22">
        <f>C1094*F1094</f>
        <v>23.6</v>
      </c>
    </row>
    <row r="1095" spans="1:7" ht="15" customHeight="1">
      <c r="A1095" s="19" t="s">
        <v>171</v>
      </c>
      <c r="B1095" s="20" t="s">
        <v>19</v>
      </c>
      <c r="C1095" s="20">
        <v>60</v>
      </c>
      <c r="D1095" s="21" t="s">
        <v>20</v>
      </c>
      <c r="E1095" s="21" t="s">
        <v>21</v>
      </c>
      <c r="F1095" s="20">
        <v>0.2</v>
      </c>
      <c r="G1095" s="22">
        <f>C1095*F1095</f>
        <v>12</v>
      </c>
    </row>
    <row r="1096" spans="1:7" ht="15" customHeight="1">
      <c r="A1096" s="19" t="s">
        <v>171</v>
      </c>
      <c r="B1096" s="20" t="s">
        <v>22</v>
      </c>
      <c r="C1096" s="20">
        <v>59</v>
      </c>
      <c r="D1096" s="21" t="s">
        <v>23</v>
      </c>
      <c r="E1096" s="21" t="s">
        <v>24</v>
      </c>
      <c r="F1096" s="20">
        <v>0.3</v>
      </c>
      <c r="G1096" s="22">
        <f>C1096*F1096</f>
        <v>17.7</v>
      </c>
    </row>
    <row r="1097" spans="1:7" ht="15" customHeight="1">
      <c r="A1097" s="19" t="s">
        <v>171</v>
      </c>
      <c r="B1097" s="20" t="s">
        <v>25</v>
      </c>
      <c r="C1097" s="20">
        <v>60</v>
      </c>
      <c r="D1097" s="21" t="s">
        <v>50</v>
      </c>
      <c r="E1097" s="21" t="s">
        <v>27</v>
      </c>
      <c r="F1097" s="20">
        <v>0.5</v>
      </c>
      <c r="G1097" s="22">
        <f>C1097*F1097</f>
        <v>30</v>
      </c>
    </row>
    <row r="1098" spans="1:7" ht="15" customHeight="1">
      <c r="A1098" s="19" t="s">
        <v>171</v>
      </c>
      <c r="B1098" s="20" t="s">
        <v>28</v>
      </c>
      <c r="C1098" s="20">
        <v>58</v>
      </c>
      <c r="D1098" s="21" t="s">
        <v>29</v>
      </c>
      <c r="E1098" s="21" t="s">
        <v>30</v>
      </c>
      <c r="F1098" s="20">
        <v>0.1</v>
      </c>
      <c r="G1098" s="22">
        <f>C1098*F1098</f>
        <v>5.8000000000000007</v>
      </c>
    </row>
    <row r="1099" spans="1:7" ht="15" customHeight="1">
      <c r="A1099" s="19" t="s">
        <v>171</v>
      </c>
      <c r="B1099" s="20" t="s">
        <v>31</v>
      </c>
      <c r="C1099" s="20">
        <v>58</v>
      </c>
      <c r="D1099" s="21" t="s">
        <v>29</v>
      </c>
      <c r="E1099" s="21" t="s">
        <v>30</v>
      </c>
      <c r="F1099" s="20">
        <v>0.2</v>
      </c>
      <c r="G1099" s="22">
        <f>C1099*F1099</f>
        <v>11.600000000000001</v>
      </c>
    </row>
    <row r="1100" spans="1:7" ht="15" customHeight="1">
      <c r="A1100" s="19" t="s">
        <v>171</v>
      </c>
      <c r="B1100" s="20" t="s">
        <v>33</v>
      </c>
      <c r="C1100" s="20">
        <v>58</v>
      </c>
      <c r="D1100" s="21" t="s">
        <v>34</v>
      </c>
      <c r="E1100" s="21" t="s">
        <v>35</v>
      </c>
      <c r="F1100" s="20">
        <v>0.35</v>
      </c>
      <c r="G1100" s="22">
        <f>C1100*F1100</f>
        <v>20.299999999999997</v>
      </c>
    </row>
    <row r="1101" spans="1:7" ht="15" customHeight="1">
      <c r="A1101" s="19" t="s">
        <v>171</v>
      </c>
      <c r="B1101" s="20" t="s">
        <v>36</v>
      </c>
      <c r="C1101" s="20">
        <v>57</v>
      </c>
      <c r="D1101" s="21" t="s">
        <v>48</v>
      </c>
      <c r="E1101" s="21" t="s">
        <v>38</v>
      </c>
      <c r="F1101" s="20">
        <v>0.35</v>
      </c>
      <c r="G1101" s="22">
        <f>C1101*F1101</f>
        <v>19.95</v>
      </c>
    </row>
    <row r="1102" spans="1:7" ht="15" customHeight="1">
      <c r="A1102" s="19" t="s">
        <v>172</v>
      </c>
      <c r="B1102" s="20" t="s">
        <v>8</v>
      </c>
      <c r="C1102" s="20">
        <v>65</v>
      </c>
      <c r="D1102" s="21" t="s">
        <v>40</v>
      </c>
      <c r="E1102" s="21" t="s">
        <v>10</v>
      </c>
      <c r="F1102" s="20">
        <v>0.15</v>
      </c>
      <c r="G1102" s="22">
        <f>C1102*F1102</f>
        <v>9.75</v>
      </c>
    </row>
    <row r="1103" spans="1:7" ht="15" customHeight="1">
      <c r="A1103" s="19" t="s">
        <v>172</v>
      </c>
      <c r="B1103" s="20" t="s">
        <v>11</v>
      </c>
      <c r="C1103" s="20">
        <v>64</v>
      </c>
      <c r="D1103" s="21" t="s">
        <v>15</v>
      </c>
      <c r="E1103" s="21" t="s">
        <v>13</v>
      </c>
      <c r="F1103" s="20">
        <v>0.2</v>
      </c>
      <c r="G1103" s="22">
        <f>C1103*F1103</f>
        <v>12.8</v>
      </c>
    </row>
    <row r="1104" spans="1:7" ht="15" customHeight="1">
      <c r="A1104" s="19" t="s">
        <v>172</v>
      </c>
      <c r="B1104" s="20" t="s">
        <v>14</v>
      </c>
      <c r="C1104" s="20">
        <v>62</v>
      </c>
      <c r="D1104" s="21" t="s">
        <v>15</v>
      </c>
      <c r="E1104" s="21" t="s">
        <v>13</v>
      </c>
      <c r="F1104" s="20">
        <v>0.25</v>
      </c>
      <c r="G1104" s="22">
        <f>C1104*F1104</f>
        <v>15.5</v>
      </c>
    </row>
    <row r="1105" spans="1:7" ht="15" customHeight="1">
      <c r="A1105" s="19" t="s">
        <v>172</v>
      </c>
      <c r="B1105" s="20" t="s">
        <v>16</v>
      </c>
      <c r="C1105" s="20">
        <v>64</v>
      </c>
      <c r="D1105" s="21" t="s">
        <v>17</v>
      </c>
      <c r="E1105" s="21" t="s">
        <v>18</v>
      </c>
      <c r="F1105" s="20">
        <v>0.4</v>
      </c>
      <c r="G1105" s="22">
        <f>C1105*F1105</f>
        <v>25.6</v>
      </c>
    </row>
    <row r="1106" spans="1:7" ht="15" customHeight="1">
      <c r="A1106" s="19" t="s">
        <v>172</v>
      </c>
      <c r="B1106" s="20" t="s">
        <v>19</v>
      </c>
      <c r="C1106" s="20">
        <v>69</v>
      </c>
      <c r="D1106" s="21" t="s">
        <v>43</v>
      </c>
      <c r="E1106" s="21" t="s">
        <v>21</v>
      </c>
      <c r="F1106" s="20">
        <v>0.2</v>
      </c>
      <c r="G1106" s="22">
        <f>C1106*F1106</f>
        <v>13.8</v>
      </c>
    </row>
    <row r="1107" spans="1:7" ht="15" customHeight="1">
      <c r="A1107" s="19" t="s">
        <v>172</v>
      </c>
      <c r="B1107" s="20" t="s">
        <v>22</v>
      </c>
      <c r="C1107" s="20">
        <v>68</v>
      </c>
      <c r="D1107" s="21" t="s">
        <v>44</v>
      </c>
      <c r="E1107" s="21" t="s">
        <v>24</v>
      </c>
      <c r="F1107" s="20">
        <v>0.3</v>
      </c>
      <c r="G1107" s="22">
        <f>C1107*F1107</f>
        <v>20.399999999999999</v>
      </c>
    </row>
    <row r="1108" spans="1:7" ht="15" customHeight="1">
      <c r="A1108" s="19" t="s">
        <v>172</v>
      </c>
      <c r="B1108" s="20" t="s">
        <v>25</v>
      </c>
      <c r="C1108" s="20">
        <v>67</v>
      </c>
      <c r="D1108" s="21" t="s">
        <v>45</v>
      </c>
      <c r="E1108" s="21" t="s">
        <v>27</v>
      </c>
      <c r="F1108" s="20">
        <v>0.5</v>
      </c>
      <c r="G1108" s="22">
        <f>C1108*F1108</f>
        <v>33.5</v>
      </c>
    </row>
    <row r="1109" spans="1:7" ht="15" customHeight="1">
      <c r="A1109" s="19" t="s">
        <v>172</v>
      </c>
      <c r="B1109" s="20" t="s">
        <v>28</v>
      </c>
      <c r="C1109" s="20">
        <v>60</v>
      </c>
      <c r="D1109" s="21" t="s">
        <v>29</v>
      </c>
      <c r="E1109" s="21" t="s">
        <v>30</v>
      </c>
      <c r="F1109" s="20">
        <v>0.1</v>
      </c>
      <c r="G1109" s="22">
        <f>C1109*F1109</f>
        <v>6</v>
      </c>
    </row>
    <row r="1110" spans="1:7" ht="15" customHeight="1">
      <c r="A1110" s="19" t="s">
        <v>172</v>
      </c>
      <c r="B1110" s="20" t="s">
        <v>31</v>
      </c>
      <c r="C1110" s="20">
        <v>60</v>
      </c>
      <c r="D1110" s="21" t="s">
        <v>29</v>
      </c>
      <c r="E1110" s="21" t="s">
        <v>30</v>
      </c>
      <c r="F1110" s="20">
        <v>0.2</v>
      </c>
      <c r="G1110" s="22">
        <f>C1110*F1110</f>
        <v>12</v>
      </c>
    </row>
    <row r="1111" spans="1:7" ht="15" customHeight="1">
      <c r="A1111" s="19" t="s">
        <v>172</v>
      </c>
      <c r="B1111" s="20" t="s">
        <v>33</v>
      </c>
      <c r="C1111" s="20">
        <v>62</v>
      </c>
      <c r="D1111" s="21" t="s">
        <v>34</v>
      </c>
      <c r="E1111" s="21" t="s">
        <v>35</v>
      </c>
      <c r="F1111" s="20">
        <v>0.35</v>
      </c>
      <c r="G1111" s="22">
        <f>C1111*F1111</f>
        <v>21.7</v>
      </c>
    </row>
    <row r="1112" spans="1:7" ht="15" customHeight="1">
      <c r="A1112" s="19" t="s">
        <v>172</v>
      </c>
      <c r="B1112" s="20" t="s">
        <v>36</v>
      </c>
      <c r="C1112" s="20">
        <v>62</v>
      </c>
      <c r="D1112" s="21" t="s">
        <v>48</v>
      </c>
      <c r="E1112" s="21" t="s">
        <v>38</v>
      </c>
      <c r="F1112" s="20">
        <v>0.35</v>
      </c>
      <c r="G1112" s="22">
        <f>C1112*F1112</f>
        <v>21.7</v>
      </c>
    </row>
    <row r="1113" spans="1:7" ht="15" customHeight="1">
      <c r="A1113" s="19" t="s">
        <v>173</v>
      </c>
      <c r="B1113" s="20" t="s">
        <v>8</v>
      </c>
      <c r="C1113" s="20">
        <v>83</v>
      </c>
      <c r="D1113" s="21" t="s">
        <v>56</v>
      </c>
      <c r="E1113" s="21" t="s">
        <v>10</v>
      </c>
      <c r="F1113" s="20">
        <v>0.15</v>
      </c>
      <c r="G1113" s="22">
        <f>C1113*F1113</f>
        <v>12.45</v>
      </c>
    </row>
    <row r="1114" spans="1:7" ht="15" customHeight="1">
      <c r="A1114" s="19" t="s">
        <v>173</v>
      </c>
      <c r="B1114" s="20" t="s">
        <v>11</v>
      </c>
      <c r="C1114" s="20">
        <v>87</v>
      </c>
      <c r="D1114" s="21" t="s">
        <v>75</v>
      </c>
      <c r="E1114" s="21" t="s">
        <v>13</v>
      </c>
      <c r="F1114" s="20">
        <v>0.2</v>
      </c>
      <c r="G1114" s="22">
        <f>C1114*F1114</f>
        <v>17.400000000000002</v>
      </c>
    </row>
    <row r="1115" spans="1:7" ht="15" customHeight="1">
      <c r="A1115" s="19" t="s">
        <v>173</v>
      </c>
      <c r="B1115" s="20" t="s">
        <v>14</v>
      </c>
      <c r="C1115" s="20">
        <v>86</v>
      </c>
      <c r="D1115" s="21" t="s">
        <v>75</v>
      </c>
      <c r="E1115" s="21" t="s">
        <v>13</v>
      </c>
      <c r="F1115" s="20">
        <v>0.25</v>
      </c>
      <c r="G1115" s="22">
        <f>C1115*F1115</f>
        <v>21.5</v>
      </c>
    </row>
    <row r="1116" spans="1:7" ht="15" customHeight="1">
      <c r="A1116" s="19" t="s">
        <v>173</v>
      </c>
      <c r="B1116" s="20" t="s">
        <v>16</v>
      </c>
      <c r="C1116" s="20">
        <v>83</v>
      </c>
      <c r="D1116" s="21" t="s">
        <v>57</v>
      </c>
      <c r="E1116" s="21" t="s">
        <v>18</v>
      </c>
      <c r="F1116" s="20">
        <v>0.4</v>
      </c>
      <c r="G1116" s="22">
        <f>C1116*F1116</f>
        <v>33.200000000000003</v>
      </c>
    </row>
    <row r="1117" spans="1:7" ht="15" customHeight="1">
      <c r="A1117" s="19" t="s">
        <v>173</v>
      </c>
      <c r="B1117" s="20" t="s">
        <v>19</v>
      </c>
      <c r="C1117" s="20">
        <v>90</v>
      </c>
      <c r="D1117" s="21" t="s">
        <v>88</v>
      </c>
      <c r="E1117" s="21" t="s">
        <v>21</v>
      </c>
      <c r="F1117" s="20">
        <v>0.2</v>
      </c>
      <c r="G1117" s="22">
        <f>C1117*F1117</f>
        <v>18</v>
      </c>
    </row>
    <row r="1118" spans="1:7" ht="15" customHeight="1">
      <c r="A1118" s="19" t="s">
        <v>173</v>
      </c>
      <c r="B1118" s="20" t="s">
        <v>22</v>
      </c>
      <c r="C1118" s="20">
        <v>90</v>
      </c>
      <c r="D1118" s="21" t="s">
        <v>97</v>
      </c>
      <c r="E1118" s="21" t="s">
        <v>24</v>
      </c>
      <c r="F1118" s="20">
        <v>0.3</v>
      </c>
      <c r="G1118" s="22">
        <f>C1118*F1118</f>
        <v>27</v>
      </c>
    </row>
    <row r="1119" spans="1:7" ht="15" customHeight="1">
      <c r="A1119" s="19" t="s">
        <v>173</v>
      </c>
      <c r="B1119" s="20" t="s">
        <v>25</v>
      </c>
      <c r="C1119" s="20">
        <v>87</v>
      </c>
      <c r="D1119" s="21" t="s">
        <v>89</v>
      </c>
      <c r="E1119" s="21" t="s">
        <v>27</v>
      </c>
      <c r="F1119" s="20">
        <v>0.5</v>
      </c>
      <c r="G1119" s="22">
        <f>C1119*F1119</f>
        <v>43.5</v>
      </c>
    </row>
    <row r="1120" spans="1:7" ht="15" customHeight="1">
      <c r="A1120" s="19" t="s">
        <v>173</v>
      </c>
      <c r="B1120" s="20" t="s">
        <v>28</v>
      </c>
      <c r="C1120" s="20">
        <v>89</v>
      </c>
      <c r="D1120" s="21" t="s">
        <v>90</v>
      </c>
      <c r="E1120" s="21" t="s">
        <v>30</v>
      </c>
      <c r="F1120" s="20">
        <v>0.1</v>
      </c>
      <c r="G1120" s="22">
        <f>C1120*F1120</f>
        <v>8.9</v>
      </c>
    </row>
    <row r="1121" spans="1:7" ht="15" customHeight="1">
      <c r="A1121" s="19" t="s">
        <v>173</v>
      </c>
      <c r="B1121" s="20" t="s">
        <v>31</v>
      </c>
      <c r="C1121" s="20">
        <v>84</v>
      </c>
      <c r="D1121" s="21" t="s">
        <v>62</v>
      </c>
      <c r="E1121" s="21" t="s">
        <v>30</v>
      </c>
      <c r="F1121" s="20">
        <v>0.2</v>
      </c>
      <c r="G1121" s="22">
        <f>C1121*F1121</f>
        <v>16.8</v>
      </c>
    </row>
    <row r="1122" spans="1:7" ht="15" customHeight="1">
      <c r="A1122" s="19" t="s">
        <v>173</v>
      </c>
      <c r="B1122" s="20" t="s">
        <v>33</v>
      </c>
      <c r="C1122" s="20">
        <v>89</v>
      </c>
      <c r="D1122" s="21" t="s">
        <v>98</v>
      </c>
      <c r="E1122" s="21" t="s">
        <v>35</v>
      </c>
      <c r="F1122" s="20">
        <v>0.35</v>
      </c>
      <c r="G1122" s="22">
        <f>C1122*F1122</f>
        <v>31.15</v>
      </c>
    </row>
    <row r="1123" spans="1:7" ht="15" customHeight="1">
      <c r="A1123" s="19" t="s">
        <v>173</v>
      </c>
      <c r="B1123" s="20" t="s">
        <v>36</v>
      </c>
      <c r="C1123" s="20">
        <v>85</v>
      </c>
      <c r="D1123" s="21" t="s">
        <v>111</v>
      </c>
      <c r="E1123" s="21" t="s">
        <v>38</v>
      </c>
      <c r="F1123" s="20">
        <v>0.35</v>
      </c>
      <c r="G1123" s="22">
        <f>C1123*F1123</f>
        <v>29.749999999999996</v>
      </c>
    </row>
    <row r="1124" spans="1:7" ht="15" customHeight="1">
      <c r="A1124" s="19" t="s">
        <v>174</v>
      </c>
      <c r="B1124" s="20" t="s">
        <v>8</v>
      </c>
      <c r="C1124" s="20">
        <v>75</v>
      </c>
      <c r="D1124" s="21" t="s">
        <v>56</v>
      </c>
      <c r="E1124" s="21" t="s">
        <v>10</v>
      </c>
      <c r="F1124" s="20">
        <v>0.15</v>
      </c>
      <c r="G1124" s="22">
        <f>C1124*F1124</f>
        <v>11.25</v>
      </c>
    </row>
    <row r="1125" spans="1:7" ht="15" customHeight="1">
      <c r="A1125" s="19" t="s">
        <v>174</v>
      </c>
      <c r="B1125" s="20" t="s">
        <v>11</v>
      </c>
      <c r="C1125" s="20">
        <v>76</v>
      </c>
      <c r="D1125" s="21" t="s">
        <v>61</v>
      </c>
      <c r="E1125" s="21" t="s">
        <v>13</v>
      </c>
      <c r="F1125" s="20">
        <v>0.2</v>
      </c>
      <c r="G1125" s="22">
        <f>C1125*F1125</f>
        <v>15.200000000000001</v>
      </c>
    </row>
    <row r="1126" spans="1:7" ht="15" customHeight="1">
      <c r="A1126" s="19" t="s">
        <v>174</v>
      </c>
      <c r="B1126" s="20" t="s">
        <v>14</v>
      </c>
      <c r="C1126" s="20">
        <v>75</v>
      </c>
      <c r="D1126" s="21" t="s">
        <v>61</v>
      </c>
      <c r="E1126" s="21" t="s">
        <v>13</v>
      </c>
      <c r="F1126" s="20">
        <v>0.25</v>
      </c>
      <c r="G1126" s="22">
        <f>C1126*F1126</f>
        <v>18.75</v>
      </c>
    </row>
    <row r="1127" spans="1:7" ht="15" customHeight="1">
      <c r="A1127" s="19" t="s">
        <v>174</v>
      </c>
      <c r="B1127" s="20" t="s">
        <v>16</v>
      </c>
      <c r="C1127" s="20">
        <v>78</v>
      </c>
      <c r="D1127" s="21" t="s">
        <v>57</v>
      </c>
      <c r="E1127" s="21" t="s">
        <v>18</v>
      </c>
      <c r="F1127" s="20">
        <v>0.4</v>
      </c>
      <c r="G1127" s="22">
        <f>C1127*F1127</f>
        <v>31.200000000000003</v>
      </c>
    </row>
    <row r="1128" spans="1:7" ht="15" customHeight="1">
      <c r="A1128" s="19" t="s">
        <v>174</v>
      </c>
      <c r="B1128" s="20" t="s">
        <v>19</v>
      </c>
      <c r="C1128" s="20">
        <v>78</v>
      </c>
      <c r="D1128" s="21" t="s">
        <v>66</v>
      </c>
      <c r="E1128" s="21" t="s">
        <v>21</v>
      </c>
      <c r="F1128" s="20">
        <v>0.2</v>
      </c>
      <c r="G1128" s="22">
        <f>C1128*F1128</f>
        <v>15.600000000000001</v>
      </c>
    </row>
    <row r="1129" spans="1:7" ht="15" customHeight="1">
      <c r="A1129" s="19" t="s">
        <v>174</v>
      </c>
      <c r="B1129" s="20" t="s">
        <v>22</v>
      </c>
      <c r="C1129" s="20">
        <v>76</v>
      </c>
      <c r="D1129" s="21" t="s">
        <v>58</v>
      </c>
      <c r="E1129" s="21" t="s">
        <v>24</v>
      </c>
      <c r="F1129" s="20">
        <v>0.3</v>
      </c>
      <c r="G1129" s="22">
        <f>C1129*F1129</f>
        <v>22.8</v>
      </c>
    </row>
    <row r="1130" spans="1:7" ht="15" customHeight="1">
      <c r="A1130" s="19" t="s">
        <v>174</v>
      </c>
      <c r="B1130" s="20" t="s">
        <v>25</v>
      </c>
      <c r="C1130" s="20">
        <v>79</v>
      </c>
      <c r="D1130" s="21" t="s">
        <v>67</v>
      </c>
      <c r="E1130" s="21" t="s">
        <v>27</v>
      </c>
      <c r="F1130" s="20">
        <v>0.5</v>
      </c>
      <c r="G1130" s="22">
        <f>C1130*F1130</f>
        <v>39.5</v>
      </c>
    </row>
    <row r="1131" spans="1:7" ht="15" customHeight="1">
      <c r="A1131" s="19" t="s">
        <v>174</v>
      </c>
      <c r="B1131" s="20" t="s">
        <v>28</v>
      </c>
      <c r="C1131" s="20">
        <v>70</v>
      </c>
      <c r="D1131" s="21" t="s">
        <v>46</v>
      </c>
      <c r="E1131" s="21" t="s">
        <v>30</v>
      </c>
      <c r="F1131" s="20">
        <v>0.1</v>
      </c>
      <c r="G1131" s="22">
        <f>C1131*F1131</f>
        <v>7</v>
      </c>
    </row>
    <row r="1132" spans="1:7" ht="15" customHeight="1">
      <c r="A1132" s="19" t="s">
        <v>174</v>
      </c>
      <c r="B1132" s="20" t="s">
        <v>31</v>
      </c>
      <c r="C1132" s="20">
        <v>73</v>
      </c>
      <c r="D1132" s="21" t="s">
        <v>46</v>
      </c>
      <c r="E1132" s="21" t="s">
        <v>30</v>
      </c>
      <c r="F1132" s="20">
        <v>0.2</v>
      </c>
      <c r="G1132" s="22">
        <f>C1132*F1132</f>
        <v>14.600000000000001</v>
      </c>
    </row>
    <row r="1133" spans="1:7" ht="15" customHeight="1">
      <c r="A1133" s="19" t="s">
        <v>174</v>
      </c>
      <c r="B1133" s="20" t="s">
        <v>33</v>
      </c>
      <c r="C1133" s="20">
        <v>75</v>
      </c>
      <c r="D1133" s="21" t="s">
        <v>63</v>
      </c>
      <c r="E1133" s="21" t="s">
        <v>35</v>
      </c>
      <c r="F1133" s="20">
        <v>0.35</v>
      </c>
      <c r="G1133" s="22">
        <f>C1133*F1133</f>
        <v>26.25</v>
      </c>
    </row>
    <row r="1134" spans="1:7" ht="15" customHeight="1">
      <c r="A1134" s="19" t="s">
        <v>174</v>
      </c>
      <c r="B1134" s="20" t="s">
        <v>36</v>
      </c>
      <c r="C1134" s="20">
        <v>74</v>
      </c>
      <c r="D1134" s="21" t="s">
        <v>51</v>
      </c>
      <c r="E1134" s="21" t="s">
        <v>38</v>
      </c>
      <c r="F1134" s="20">
        <v>0.35</v>
      </c>
      <c r="G1134" s="22">
        <f>C1134*F1134</f>
        <v>25.9</v>
      </c>
    </row>
    <row r="1135" spans="1:7" ht="15" customHeight="1">
      <c r="A1135" s="19" t="s">
        <v>175</v>
      </c>
      <c r="B1135" s="20" t="s">
        <v>8</v>
      </c>
      <c r="C1135" s="20">
        <v>81</v>
      </c>
      <c r="D1135" s="21" t="s">
        <v>56</v>
      </c>
      <c r="E1135" s="21" t="s">
        <v>10</v>
      </c>
      <c r="F1135" s="20">
        <v>0.15</v>
      </c>
      <c r="G1135" s="22">
        <f>C1135*F1135</f>
        <v>12.15</v>
      </c>
    </row>
    <row r="1136" spans="1:7" ht="15" customHeight="1">
      <c r="A1136" s="19" t="s">
        <v>175</v>
      </c>
      <c r="B1136" s="20" t="s">
        <v>11</v>
      </c>
      <c r="C1136" s="20">
        <v>80</v>
      </c>
      <c r="D1136" s="21" t="s">
        <v>61</v>
      </c>
      <c r="E1136" s="21" t="s">
        <v>13</v>
      </c>
      <c r="F1136" s="20">
        <v>0.2</v>
      </c>
      <c r="G1136" s="22">
        <f>C1136*F1136</f>
        <v>16</v>
      </c>
    </row>
    <row r="1137" spans="1:7" ht="15" customHeight="1">
      <c r="A1137" s="19" t="s">
        <v>175</v>
      </c>
      <c r="B1137" s="20" t="s">
        <v>14</v>
      </c>
      <c r="C1137" s="20">
        <v>79</v>
      </c>
      <c r="D1137" s="21" t="s">
        <v>61</v>
      </c>
      <c r="E1137" s="21" t="s">
        <v>13</v>
      </c>
      <c r="F1137" s="20">
        <v>0.25</v>
      </c>
      <c r="G1137" s="22">
        <f>C1137*F1137</f>
        <v>19.75</v>
      </c>
    </row>
    <row r="1138" spans="1:7" ht="15" customHeight="1">
      <c r="A1138" s="19" t="s">
        <v>175</v>
      </c>
      <c r="B1138" s="20" t="s">
        <v>16</v>
      </c>
      <c r="C1138" s="20">
        <v>78</v>
      </c>
      <c r="D1138" s="21" t="s">
        <v>57</v>
      </c>
      <c r="E1138" s="21" t="s">
        <v>18</v>
      </c>
      <c r="F1138" s="20">
        <v>0.4</v>
      </c>
      <c r="G1138" s="22">
        <f>C1138*F1138</f>
        <v>31.200000000000003</v>
      </c>
    </row>
    <row r="1139" spans="1:7" ht="15" customHeight="1">
      <c r="A1139" s="19" t="s">
        <v>175</v>
      </c>
      <c r="B1139" s="20" t="s">
        <v>19</v>
      </c>
      <c r="C1139" s="20">
        <v>74</v>
      </c>
      <c r="D1139" s="21" t="s">
        <v>43</v>
      </c>
      <c r="E1139" s="21" t="s">
        <v>21</v>
      </c>
      <c r="F1139" s="20">
        <v>0.2</v>
      </c>
      <c r="G1139" s="22">
        <f>C1139*F1139</f>
        <v>14.8</v>
      </c>
    </row>
    <row r="1140" spans="1:7" ht="15" customHeight="1">
      <c r="A1140" s="19" t="s">
        <v>175</v>
      </c>
      <c r="B1140" s="20" t="s">
        <v>22</v>
      </c>
      <c r="C1140" s="20">
        <v>75</v>
      </c>
      <c r="D1140" s="21" t="s">
        <v>58</v>
      </c>
      <c r="E1140" s="21" t="s">
        <v>24</v>
      </c>
      <c r="F1140" s="20">
        <v>0.3</v>
      </c>
      <c r="G1140" s="22">
        <f>C1140*F1140</f>
        <v>22.5</v>
      </c>
    </row>
    <row r="1141" spans="1:7" ht="15" customHeight="1">
      <c r="A1141" s="19" t="s">
        <v>175</v>
      </c>
      <c r="B1141" s="20" t="s">
        <v>25</v>
      </c>
      <c r="C1141" s="20">
        <v>73</v>
      </c>
      <c r="D1141" s="21" t="s">
        <v>45</v>
      </c>
      <c r="E1141" s="21" t="s">
        <v>27</v>
      </c>
      <c r="F1141" s="20">
        <v>0.5</v>
      </c>
      <c r="G1141" s="22">
        <f>C1141*F1141</f>
        <v>36.5</v>
      </c>
    </row>
    <row r="1142" spans="1:7" ht="15" customHeight="1">
      <c r="A1142" s="19" t="s">
        <v>175</v>
      </c>
      <c r="B1142" s="20" t="s">
        <v>28</v>
      </c>
      <c r="C1142" s="20">
        <v>77</v>
      </c>
      <c r="D1142" s="21" t="s">
        <v>62</v>
      </c>
      <c r="E1142" s="21" t="s">
        <v>30</v>
      </c>
      <c r="F1142" s="20">
        <v>0.1</v>
      </c>
      <c r="G1142" s="22">
        <f>C1142*F1142</f>
        <v>7.7</v>
      </c>
    </row>
    <row r="1143" spans="1:7" ht="15" customHeight="1">
      <c r="A1143" s="19" t="s">
        <v>175</v>
      </c>
      <c r="B1143" s="20" t="s">
        <v>31</v>
      </c>
      <c r="C1143" s="20">
        <v>77</v>
      </c>
      <c r="D1143" s="21" t="s">
        <v>62</v>
      </c>
      <c r="E1143" s="21" t="s">
        <v>30</v>
      </c>
      <c r="F1143" s="20">
        <v>0.2</v>
      </c>
      <c r="G1143" s="22">
        <f>C1143*F1143</f>
        <v>15.4</v>
      </c>
    </row>
    <row r="1144" spans="1:7" ht="15" customHeight="1">
      <c r="A1144" s="19" t="s">
        <v>175</v>
      </c>
      <c r="B1144" s="20" t="s">
        <v>33</v>
      </c>
      <c r="C1144" s="20">
        <v>77</v>
      </c>
      <c r="D1144" s="21" t="s">
        <v>63</v>
      </c>
      <c r="E1144" s="21" t="s">
        <v>35</v>
      </c>
      <c r="F1144" s="20">
        <v>0.35</v>
      </c>
      <c r="G1144" s="22">
        <f>C1144*F1144</f>
        <v>26.95</v>
      </c>
    </row>
    <row r="1145" spans="1:7" ht="15" customHeight="1">
      <c r="A1145" s="19" t="s">
        <v>175</v>
      </c>
      <c r="B1145" s="20" t="s">
        <v>36</v>
      </c>
      <c r="C1145" s="20">
        <v>78</v>
      </c>
      <c r="D1145" s="21" t="s">
        <v>59</v>
      </c>
      <c r="E1145" s="21" t="s">
        <v>38</v>
      </c>
      <c r="F1145" s="20">
        <v>0.35</v>
      </c>
      <c r="G1145" s="22">
        <f>C1145*F1145</f>
        <v>27.299999999999997</v>
      </c>
    </row>
    <row r="1146" spans="1:7" ht="15" customHeight="1">
      <c r="A1146" s="19" t="s">
        <v>176</v>
      </c>
      <c r="B1146" s="20" t="s">
        <v>8</v>
      </c>
      <c r="C1146" s="20">
        <v>72</v>
      </c>
      <c r="D1146" s="21" t="s">
        <v>40</v>
      </c>
      <c r="E1146" s="21" t="s">
        <v>10</v>
      </c>
      <c r="F1146" s="20">
        <v>0.15</v>
      </c>
      <c r="G1146" s="22">
        <f>C1146*F1146</f>
        <v>10.799999999999999</v>
      </c>
    </row>
    <row r="1147" spans="1:7" ht="15" customHeight="1">
      <c r="A1147" s="19" t="s">
        <v>176</v>
      </c>
      <c r="B1147" s="20" t="s">
        <v>11</v>
      </c>
      <c r="C1147" s="20">
        <v>72</v>
      </c>
      <c r="D1147" s="21" t="s">
        <v>41</v>
      </c>
      <c r="E1147" s="21" t="s">
        <v>13</v>
      </c>
      <c r="F1147" s="20">
        <v>0.2</v>
      </c>
      <c r="G1147" s="22">
        <f>C1147*F1147</f>
        <v>14.4</v>
      </c>
    </row>
    <row r="1148" spans="1:7" ht="15" customHeight="1">
      <c r="A1148" s="19" t="s">
        <v>176</v>
      </c>
      <c r="B1148" s="20" t="s">
        <v>14</v>
      </c>
      <c r="C1148" s="20">
        <v>70</v>
      </c>
      <c r="D1148" s="21" t="s">
        <v>41</v>
      </c>
      <c r="E1148" s="21" t="s">
        <v>13</v>
      </c>
      <c r="F1148" s="20">
        <v>0.25</v>
      </c>
      <c r="G1148" s="22">
        <f>C1148*F1148</f>
        <v>17.5</v>
      </c>
    </row>
    <row r="1149" spans="1:7" ht="15" customHeight="1">
      <c r="A1149" s="19" t="s">
        <v>176</v>
      </c>
      <c r="B1149" s="20" t="s">
        <v>16</v>
      </c>
      <c r="C1149" s="20">
        <v>67</v>
      </c>
      <c r="D1149" s="21" t="s">
        <v>42</v>
      </c>
      <c r="E1149" s="21" t="s">
        <v>18</v>
      </c>
      <c r="F1149" s="20">
        <v>0.4</v>
      </c>
      <c r="G1149" s="22">
        <f>C1149*F1149</f>
        <v>26.8</v>
      </c>
    </row>
    <row r="1150" spans="1:7" ht="15" customHeight="1">
      <c r="A1150" s="19" t="s">
        <v>176</v>
      </c>
      <c r="B1150" s="20" t="s">
        <v>19</v>
      </c>
      <c r="C1150" s="20">
        <v>74</v>
      </c>
      <c r="D1150" s="21" t="s">
        <v>43</v>
      </c>
      <c r="E1150" s="21" t="s">
        <v>21</v>
      </c>
      <c r="F1150" s="20">
        <v>0.2</v>
      </c>
      <c r="G1150" s="22">
        <f>C1150*F1150</f>
        <v>14.8</v>
      </c>
    </row>
    <row r="1151" spans="1:7" ht="15" customHeight="1">
      <c r="A1151" s="19" t="s">
        <v>176</v>
      </c>
      <c r="B1151" s="20" t="s">
        <v>22</v>
      </c>
      <c r="C1151" s="20">
        <v>75</v>
      </c>
      <c r="D1151" s="21" t="s">
        <v>58</v>
      </c>
      <c r="E1151" s="21" t="s">
        <v>24</v>
      </c>
      <c r="F1151" s="20">
        <v>0.3</v>
      </c>
      <c r="G1151" s="22">
        <f>C1151*F1151</f>
        <v>22.5</v>
      </c>
    </row>
    <row r="1152" spans="1:7" ht="15" customHeight="1">
      <c r="A1152" s="19" t="s">
        <v>176</v>
      </c>
      <c r="B1152" s="20" t="s">
        <v>25</v>
      </c>
      <c r="C1152" s="20">
        <v>70</v>
      </c>
      <c r="D1152" s="21" t="s">
        <v>45</v>
      </c>
      <c r="E1152" s="21" t="s">
        <v>27</v>
      </c>
      <c r="F1152" s="20">
        <v>0.5</v>
      </c>
      <c r="G1152" s="22">
        <f>C1152*F1152</f>
        <v>35</v>
      </c>
    </row>
    <row r="1153" spans="1:7" ht="15" customHeight="1">
      <c r="A1153" s="19" t="s">
        <v>176</v>
      </c>
      <c r="B1153" s="20" t="s">
        <v>28</v>
      </c>
      <c r="C1153" s="20">
        <v>67</v>
      </c>
      <c r="D1153" s="21" t="s">
        <v>46</v>
      </c>
      <c r="E1153" s="21" t="s">
        <v>30</v>
      </c>
      <c r="F1153" s="20">
        <v>0.1</v>
      </c>
      <c r="G1153" s="22">
        <f>C1153*F1153</f>
        <v>6.7</v>
      </c>
    </row>
    <row r="1154" spans="1:7" ht="15" customHeight="1">
      <c r="A1154" s="19" t="s">
        <v>176</v>
      </c>
      <c r="B1154" s="20" t="s">
        <v>31</v>
      </c>
      <c r="C1154" s="20">
        <v>72</v>
      </c>
      <c r="D1154" s="21" t="s">
        <v>46</v>
      </c>
      <c r="E1154" s="21" t="s">
        <v>30</v>
      </c>
      <c r="F1154" s="20">
        <v>0.2</v>
      </c>
      <c r="G1154" s="22">
        <f>C1154*F1154</f>
        <v>14.4</v>
      </c>
    </row>
    <row r="1155" spans="1:7" ht="15" customHeight="1">
      <c r="A1155" s="19" t="s">
        <v>176</v>
      </c>
      <c r="B1155" s="20" t="s">
        <v>33</v>
      </c>
      <c r="C1155" s="20">
        <v>69</v>
      </c>
      <c r="D1155" s="21" t="s">
        <v>47</v>
      </c>
      <c r="E1155" s="21" t="s">
        <v>35</v>
      </c>
      <c r="F1155" s="20">
        <v>0.35</v>
      </c>
      <c r="G1155" s="22">
        <f>C1155*F1155</f>
        <v>24.15</v>
      </c>
    </row>
    <row r="1156" spans="1:7" ht="15" customHeight="1">
      <c r="A1156" s="19" t="s">
        <v>176</v>
      </c>
      <c r="B1156" s="20" t="s">
        <v>36</v>
      </c>
      <c r="C1156" s="20">
        <v>68</v>
      </c>
      <c r="D1156" s="21" t="s">
        <v>51</v>
      </c>
      <c r="E1156" s="21" t="s">
        <v>38</v>
      </c>
      <c r="F1156" s="20">
        <v>0.35</v>
      </c>
      <c r="G1156" s="22">
        <f>C1156*F1156</f>
        <v>23.799999999999997</v>
      </c>
    </row>
    <row r="1157" spans="1:7" ht="15" customHeight="1">
      <c r="A1157" s="19" t="s">
        <v>177</v>
      </c>
      <c r="B1157" s="20" t="s">
        <v>8</v>
      </c>
      <c r="C1157" s="20">
        <v>74</v>
      </c>
      <c r="D1157" s="21" t="s">
        <v>40</v>
      </c>
      <c r="E1157" s="21" t="s">
        <v>10</v>
      </c>
      <c r="F1157" s="20">
        <v>0.15</v>
      </c>
      <c r="G1157" s="22">
        <f>C1157*F1157</f>
        <v>11.1</v>
      </c>
    </row>
    <row r="1158" spans="1:7" ht="15" customHeight="1">
      <c r="A1158" s="19" t="s">
        <v>177</v>
      </c>
      <c r="B1158" s="20" t="s">
        <v>11</v>
      </c>
      <c r="C1158" s="20">
        <v>74</v>
      </c>
      <c r="D1158" s="21" t="s">
        <v>41</v>
      </c>
      <c r="E1158" s="21" t="s">
        <v>13</v>
      </c>
      <c r="F1158" s="20">
        <v>0.2</v>
      </c>
      <c r="G1158" s="22">
        <f>C1158*F1158</f>
        <v>14.8</v>
      </c>
    </row>
    <row r="1159" spans="1:7" ht="15" customHeight="1">
      <c r="A1159" s="19" t="s">
        <v>177</v>
      </c>
      <c r="B1159" s="20" t="s">
        <v>14</v>
      </c>
      <c r="C1159" s="20">
        <v>78</v>
      </c>
      <c r="D1159" s="21" t="s">
        <v>61</v>
      </c>
      <c r="E1159" s="21" t="s">
        <v>13</v>
      </c>
      <c r="F1159" s="20">
        <v>0.25</v>
      </c>
      <c r="G1159" s="22">
        <f>C1159*F1159</f>
        <v>19.5</v>
      </c>
    </row>
    <row r="1160" spans="1:7" ht="15" customHeight="1">
      <c r="A1160" s="19" t="s">
        <v>177</v>
      </c>
      <c r="B1160" s="20" t="s">
        <v>16</v>
      </c>
      <c r="C1160" s="20">
        <v>74</v>
      </c>
      <c r="D1160" s="21" t="s">
        <v>42</v>
      </c>
      <c r="E1160" s="21" t="s">
        <v>18</v>
      </c>
      <c r="F1160" s="20">
        <v>0.4</v>
      </c>
      <c r="G1160" s="22">
        <f>C1160*F1160</f>
        <v>29.6</v>
      </c>
    </row>
    <row r="1161" spans="1:7" ht="15" customHeight="1">
      <c r="A1161" s="19" t="s">
        <v>177</v>
      </c>
      <c r="B1161" s="20" t="s">
        <v>19</v>
      </c>
      <c r="C1161" s="20">
        <v>78</v>
      </c>
      <c r="D1161" s="21" t="s">
        <v>66</v>
      </c>
      <c r="E1161" s="21" t="s">
        <v>21</v>
      </c>
      <c r="F1161" s="20">
        <v>0.2</v>
      </c>
      <c r="G1161" s="22">
        <f>C1161*F1161</f>
        <v>15.600000000000001</v>
      </c>
    </row>
    <row r="1162" spans="1:7" ht="15" customHeight="1">
      <c r="A1162" s="19" t="s">
        <v>177</v>
      </c>
      <c r="B1162" s="20" t="s">
        <v>22</v>
      </c>
      <c r="C1162" s="20">
        <v>79</v>
      </c>
      <c r="D1162" s="21" t="s">
        <v>58</v>
      </c>
      <c r="E1162" s="21" t="s">
        <v>24</v>
      </c>
      <c r="F1162" s="20">
        <v>0.3</v>
      </c>
      <c r="G1162" s="22">
        <f>C1162*F1162</f>
        <v>23.7</v>
      </c>
    </row>
    <row r="1163" spans="1:7" ht="15" customHeight="1">
      <c r="A1163" s="19" t="s">
        <v>177</v>
      </c>
      <c r="B1163" s="20" t="s">
        <v>25</v>
      </c>
      <c r="C1163" s="20">
        <v>79</v>
      </c>
      <c r="D1163" s="21" t="s">
        <v>67</v>
      </c>
      <c r="E1163" s="21" t="s">
        <v>27</v>
      </c>
      <c r="F1163" s="20">
        <v>0.5</v>
      </c>
      <c r="G1163" s="22">
        <f>C1163*F1163</f>
        <v>39.5</v>
      </c>
    </row>
    <row r="1164" spans="1:7" ht="15" customHeight="1">
      <c r="A1164" s="19" t="s">
        <v>177</v>
      </c>
      <c r="B1164" s="20" t="s">
        <v>28</v>
      </c>
      <c r="C1164" s="20">
        <v>79</v>
      </c>
      <c r="D1164" s="21" t="s">
        <v>62</v>
      </c>
      <c r="E1164" s="21" t="s">
        <v>30</v>
      </c>
      <c r="F1164" s="20">
        <v>0.1</v>
      </c>
      <c r="G1164" s="22">
        <f>C1164*F1164</f>
        <v>7.9</v>
      </c>
    </row>
    <row r="1165" spans="1:7" ht="15" customHeight="1">
      <c r="A1165" s="19" t="s">
        <v>177</v>
      </c>
      <c r="B1165" s="20" t="s">
        <v>31</v>
      </c>
      <c r="C1165" s="20">
        <v>81</v>
      </c>
      <c r="D1165" s="21" t="s">
        <v>62</v>
      </c>
      <c r="E1165" s="21" t="s">
        <v>30</v>
      </c>
      <c r="F1165" s="20">
        <v>0.2</v>
      </c>
      <c r="G1165" s="22">
        <f>C1165*F1165</f>
        <v>16.2</v>
      </c>
    </row>
    <row r="1166" spans="1:7" ht="15" customHeight="1">
      <c r="A1166" s="19" t="s">
        <v>177</v>
      </c>
      <c r="B1166" s="20" t="s">
        <v>33</v>
      </c>
      <c r="C1166" s="20">
        <v>82</v>
      </c>
      <c r="D1166" s="21" t="s">
        <v>63</v>
      </c>
      <c r="E1166" s="21" t="s">
        <v>35</v>
      </c>
      <c r="F1166" s="20">
        <v>0.35</v>
      </c>
      <c r="G1166" s="22">
        <f>C1166*F1166</f>
        <v>28.7</v>
      </c>
    </row>
    <row r="1167" spans="1:7" ht="15" customHeight="1">
      <c r="A1167" s="19" t="s">
        <v>177</v>
      </c>
      <c r="B1167" s="20" t="s">
        <v>36</v>
      </c>
      <c r="C1167" s="20">
        <v>81</v>
      </c>
      <c r="D1167" s="21" t="s">
        <v>59</v>
      </c>
      <c r="E1167" s="21" t="s">
        <v>38</v>
      </c>
      <c r="F1167" s="20">
        <v>0.35</v>
      </c>
      <c r="G1167" s="22">
        <f>C1167*F1167</f>
        <v>28.349999999999998</v>
      </c>
    </row>
    <row r="1168" spans="1:7" ht="15" customHeight="1">
      <c r="A1168" s="19" t="s">
        <v>178</v>
      </c>
      <c r="B1168" s="20" t="s">
        <v>8</v>
      </c>
      <c r="C1168" s="20">
        <v>83</v>
      </c>
      <c r="D1168" s="21" t="s">
        <v>56</v>
      </c>
      <c r="E1168" s="21" t="s">
        <v>10</v>
      </c>
      <c r="F1168" s="20">
        <v>0.15</v>
      </c>
      <c r="G1168" s="22">
        <f>C1168*F1168</f>
        <v>12.45</v>
      </c>
    </row>
    <row r="1169" spans="1:7" ht="15" customHeight="1">
      <c r="A1169" s="19" t="s">
        <v>178</v>
      </c>
      <c r="B1169" s="20" t="s">
        <v>11</v>
      </c>
      <c r="C1169" s="20">
        <v>87</v>
      </c>
      <c r="D1169" s="21" t="s">
        <v>75</v>
      </c>
      <c r="E1169" s="21" t="s">
        <v>13</v>
      </c>
      <c r="F1169" s="20">
        <v>0.2</v>
      </c>
      <c r="G1169" s="22">
        <f>C1169*F1169</f>
        <v>17.400000000000002</v>
      </c>
    </row>
    <row r="1170" spans="1:7" ht="15" customHeight="1">
      <c r="A1170" s="19" t="s">
        <v>178</v>
      </c>
      <c r="B1170" s="20" t="s">
        <v>14</v>
      </c>
      <c r="C1170" s="20">
        <v>86</v>
      </c>
      <c r="D1170" s="21" t="s">
        <v>75</v>
      </c>
      <c r="E1170" s="21" t="s">
        <v>13</v>
      </c>
      <c r="F1170" s="20">
        <v>0.25</v>
      </c>
      <c r="G1170" s="22">
        <f>C1170*F1170</f>
        <v>21.5</v>
      </c>
    </row>
    <row r="1171" spans="1:7" ht="15" customHeight="1">
      <c r="A1171" s="19" t="s">
        <v>178</v>
      </c>
      <c r="B1171" s="20" t="s">
        <v>16</v>
      </c>
      <c r="C1171" s="20">
        <v>83</v>
      </c>
      <c r="D1171" s="21" t="s">
        <v>57</v>
      </c>
      <c r="E1171" s="21" t="s">
        <v>18</v>
      </c>
      <c r="F1171" s="20">
        <v>0.4</v>
      </c>
      <c r="G1171" s="22">
        <f>C1171*F1171</f>
        <v>33.200000000000003</v>
      </c>
    </row>
    <row r="1172" spans="1:7" ht="15" customHeight="1">
      <c r="A1172" s="19" t="s">
        <v>178</v>
      </c>
      <c r="B1172" s="20" t="s">
        <v>19</v>
      </c>
      <c r="C1172" s="20">
        <v>92</v>
      </c>
      <c r="D1172" s="21" t="s">
        <v>88</v>
      </c>
      <c r="E1172" s="21" t="s">
        <v>21</v>
      </c>
      <c r="F1172" s="20">
        <v>0.2</v>
      </c>
      <c r="G1172" s="22">
        <f>C1172*F1172</f>
        <v>18.400000000000002</v>
      </c>
    </row>
    <row r="1173" spans="1:7" ht="15" customHeight="1">
      <c r="A1173" s="19" t="s">
        <v>178</v>
      </c>
      <c r="B1173" s="20" t="s">
        <v>22</v>
      </c>
      <c r="C1173" s="20">
        <v>87</v>
      </c>
      <c r="D1173" s="21" t="s">
        <v>97</v>
      </c>
      <c r="E1173" s="21" t="s">
        <v>24</v>
      </c>
      <c r="F1173" s="20">
        <v>0.3</v>
      </c>
      <c r="G1173" s="22">
        <f>C1173*F1173</f>
        <v>26.099999999999998</v>
      </c>
    </row>
    <row r="1174" spans="1:7" ht="15" customHeight="1">
      <c r="A1174" s="19" t="s">
        <v>178</v>
      </c>
      <c r="B1174" s="20" t="s">
        <v>25</v>
      </c>
      <c r="C1174" s="20">
        <v>91</v>
      </c>
      <c r="D1174" s="21" t="s">
        <v>89</v>
      </c>
      <c r="E1174" s="21" t="s">
        <v>27</v>
      </c>
      <c r="F1174" s="20">
        <v>0.5</v>
      </c>
      <c r="G1174" s="22">
        <f>C1174*F1174</f>
        <v>45.5</v>
      </c>
    </row>
    <row r="1175" spans="1:7" ht="15" customHeight="1">
      <c r="A1175" s="19" t="s">
        <v>178</v>
      </c>
      <c r="B1175" s="20" t="s">
        <v>28</v>
      </c>
      <c r="C1175" s="20">
        <v>88</v>
      </c>
      <c r="D1175" s="21" t="s">
        <v>90</v>
      </c>
      <c r="E1175" s="21" t="s">
        <v>30</v>
      </c>
      <c r="F1175" s="20">
        <v>0.1</v>
      </c>
      <c r="G1175" s="22">
        <f>C1175*F1175</f>
        <v>8.8000000000000007</v>
      </c>
    </row>
    <row r="1176" spans="1:7" ht="15" customHeight="1">
      <c r="A1176" s="19" t="s">
        <v>178</v>
      </c>
      <c r="B1176" s="20" t="s">
        <v>31</v>
      </c>
      <c r="C1176" s="20">
        <v>86</v>
      </c>
      <c r="D1176" s="21" t="s">
        <v>90</v>
      </c>
      <c r="E1176" s="21" t="s">
        <v>30</v>
      </c>
      <c r="F1176" s="20">
        <v>0.2</v>
      </c>
      <c r="G1176" s="22">
        <f>C1176*F1176</f>
        <v>17.2</v>
      </c>
    </row>
    <row r="1177" spans="1:7" ht="15" customHeight="1">
      <c r="A1177" s="19" t="s">
        <v>178</v>
      </c>
      <c r="B1177" s="20" t="s">
        <v>33</v>
      </c>
      <c r="C1177" s="20">
        <v>85</v>
      </c>
      <c r="D1177" s="21" t="s">
        <v>98</v>
      </c>
      <c r="E1177" s="21" t="s">
        <v>35</v>
      </c>
      <c r="F1177" s="20">
        <v>0.35</v>
      </c>
      <c r="G1177" s="22">
        <f>C1177*F1177</f>
        <v>29.749999999999996</v>
      </c>
    </row>
    <row r="1178" spans="1:7" ht="15" customHeight="1">
      <c r="A1178" s="19" t="s">
        <v>178</v>
      </c>
      <c r="B1178" s="20" t="s">
        <v>36</v>
      </c>
      <c r="C1178" s="20">
        <v>89</v>
      </c>
      <c r="D1178" s="21" t="s">
        <v>111</v>
      </c>
      <c r="E1178" s="21" t="s">
        <v>38</v>
      </c>
      <c r="F1178" s="20">
        <v>0.35</v>
      </c>
      <c r="G1178" s="22">
        <f>C1178*F1178</f>
        <v>31.15</v>
      </c>
    </row>
    <row r="1179" spans="1:7" ht="15" customHeight="1">
      <c r="A1179" s="19" t="s">
        <v>179</v>
      </c>
      <c r="B1179" s="20" t="s">
        <v>8</v>
      </c>
      <c r="C1179" s="20">
        <v>50</v>
      </c>
      <c r="D1179" s="21" t="s">
        <v>9</v>
      </c>
      <c r="E1179" s="21" t="s">
        <v>10</v>
      </c>
      <c r="F1179" s="20">
        <v>0.15</v>
      </c>
      <c r="G1179" s="22">
        <f>C1179*F1179</f>
        <v>7.5</v>
      </c>
    </row>
    <row r="1180" spans="1:7" ht="15" customHeight="1">
      <c r="A1180" s="19" t="s">
        <v>179</v>
      </c>
      <c r="B1180" s="20" t="s">
        <v>11</v>
      </c>
      <c r="C1180" s="20">
        <v>50</v>
      </c>
      <c r="D1180" s="21" t="s">
        <v>15</v>
      </c>
      <c r="E1180" s="21" t="s">
        <v>13</v>
      </c>
      <c r="F1180" s="20">
        <v>0.2</v>
      </c>
      <c r="G1180" s="22">
        <f>C1180*F1180</f>
        <v>10</v>
      </c>
    </row>
    <row r="1181" spans="1:7" ht="15" customHeight="1">
      <c r="A1181" s="19" t="s">
        <v>179</v>
      </c>
      <c r="B1181" s="20" t="s">
        <v>14</v>
      </c>
      <c r="C1181" s="20">
        <v>53</v>
      </c>
      <c r="D1181" s="21" t="s">
        <v>15</v>
      </c>
      <c r="E1181" s="21" t="s">
        <v>13</v>
      </c>
      <c r="F1181" s="20">
        <v>0.25</v>
      </c>
      <c r="G1181" s="22">
        <f>C1181*F1181</f>
        <v>13.25</v>
      </c>
    </row>
    <row r="1182" spans="1:7" ht="15" customHeight="1">
      <c r="A1182" s="19" t="s">
        <v>179</v>
      </c>
      <c r="B1182" s="20" t="s">
        <v>16</v>
      </c>
      <c r="C1182" s="20">
        <v>52</v>
      </c>
      <c r="D1182" s="21" t="s">
        <v>17</v>
      </c>
      <c r="E1182" s="21" t="s">
        <v>18</v>
      </c>
      <c r="F1182" s="20">
        <v>0.4</v>
      </c>
      <c r="G1182" s="22">
        <f>C1182*F1182</f>
        <v>20.8</v>
      </c>
    </row>
    <row r="1183" spans="1:7" ht="15" customHeight="1">
      <c r="A1183" s="19" t="s">
        <v>179</v>
      </c>
      <c r="B1183" s="20" t="s">
        <v>19</v>
      </c>
      <c r="C1183" s="20">
        <v>52</v>
      </c>
      <c r="D1183" s="21" t="s">
        <v>20</v>
      </c>
      <c r="E1183" s="21" t="s">
        <v>21</v>
      </c>
      <c r="F1183" s="20">
        <v>0.2</v>
      </c>
      <c r="G1183" s="22">
        <f>C1183*F1183</f>
        <v>10.4</v>
      </c>
    </row>
    <row r="1184" spans="1:7" ht="15" customHeight="1">
      <c r="A1184" s="19" t="s">
        <v>179</v>
      </c>
      <c r="B1184" s="20" t="s">
        <v>22</v>
      </c>
      <c r="C1184" s="20">
        <v>51</v>
      </c>
      <c r="D1184" s="21" t="s">
        <v>23</v>
      </c>
      <c r="E1184" s="21" t="s">
        <v>24</v>
      </c>
      <c r="F1184" s="20">
        <v>0.3</v>
      </c>
      <c r="G1184" s="22">
        <f>C1184*F1184</f>
        <v>15.299999999999999</v>
      </c>
    </row>
    <row r="1185" spans="1:7" ht="15" customHeight="1">
      <c r="A1185" s="19" t="s">
        <v>179</v>
      </c>
      <c r="B1185" s="20" t="s">
        <v>25</v>
      </c>
      <c r="C1185" s="20">
        <v>51</v>
      </c>
      <c r="D1185" s="21" t="s">
        <v>50</v>
      </c>
      <c r="E1185" s="21" t="s">
        <v>27</v>
      </c>
      <c r="F1185" s="20">
        <v>0.5</v>
      </c>
      <c r="G1185" s="22">
        <f>C1185*F1185</f>
        <v>25.5</v>
      </c>
    </row>
    <row r="1186" spans="1:7" ht="15" customHeight="1">
      <c r="A1186" s="19" t="s">
        <v>179</v>
      </c>
      <c r="B1186" s="20" t="s">
        <v>28</v>
      </c>
      <c r="C1186" s="20">
        <v>51</v>
      </c>
      <c r="D1186" s="21" t="s">
        <v>29</v>
      </c>
      <c r="E1186" s="21" t="s">
        <v>30</v>
      </c>
      <c r="F1186" s="20">
        <v>0.1</v>
      </c>
      <c r="G1186" s="22">
        <f>C1186*F1186</f>
        <v>5.1000000000000005</v>
      </c>
    </row>
    <row r="1187" spans="1:7" ht="15" customHeight="1">
      <c r="A1187" s="19" t="s">
        <v>179</v>
      </c>
      <c r="B1187" s="20" t="s">
        <v>31</v>
      </c>
      <c r="C1187" s="20">
        <v>53</v>
      </c>
      <c r="D1187" s="21" t="s">
        <v>29</v>
      </c>
      <c r="E1187" s="21" t="s">
        <v>30</v>
      </c>
      <c r="F1187" s="20">
        <v>0.2</v>
      </c>
      <c r="G1187" s="22">
        <f>C1187*F1187</f>
        <v>10.600000000000001</v>
      </c>
    </row>
    <row r="1188" spans="1:7" ht="15" customHeight="1">
      <c r="A1188" s="19" t="s">
        <v>179</v>
      </c>
      <c r="B1188" s="20" t="s">
        <v>33</v>
      </c>
      <c r="C1188" s="20">
        <v>55</v>
      </c>
      <c r="D1188" s="21" t="s">
        <v>34</v>
      </c>
      <c r="E1188" s="21" t="s">
        <v>35</v>
      </c>
      <c r="F1188" s="20">
        <v>0.35</v>
      </c>
      <c r="G1188" s="22">
        <f>C1188*F1188</f>
        <v>19.25</v>
      </c>
    </row>
    <row r="1189" spans="1:7" ht="15" customHeight="1">
      <c r="A1189" s="19" t="s">
        <v>179</v>
      </c>
      <c r="B1189" s="20" t="s">
        <v>36</v>
      </c>
      <c r="C1189" s="20">
        <v>51</v>
      </c>
      <c r="D1189" s="21" t="s">
        <v>48</v>
      </c>
      <c r="E1189" s="21" t="s">
        <v>38</v>
      </c>
      <c r="F1189" s="20">
        <v>0.35</v>
      </c>
      <c r="G1189" s="22">
        <f>C1189*F1189</f>
        <v>17.849999999999998</v>
      </c>
    </row>
    <row r="1190" spans="1:7" ht="15" customHeight="1">
      <c r="A1190" s="19" t="s">
        <v>180</v>
      </c>
      <c r="B1190" s="20" t="s">
        <v>8</v>
      </c>
      <c r="C1190" s="20">
        <v>71</v>
      </c>
      <c r="D1190" s="21" t="s">
        <v>40</v>
      </c>
      <c r="E1190" s="21" t="s">
        <v>10</v>
      </c>
      <c r="F1190" s="20">
        <v>0.15</v>
      </c>
      <c r="G1190" s="22">
        <f>C1190*F1190</f>
        <v>10.65</v>
      </c>
    </row>
    <row r="1191" spans="1:7" ht="15" customHeight="1">
      <c r="A1191" s="19" t="s">
        <v>180</v>
      </c>
      <c r="B1191" s="20" t="s">
        <v>11</v>
      </c>
      <c r="C1191" s="20">
        <v>69</v>
      </c>
      <c r="D1191" s="21" t="s">
        <v>41</v>
      </c>
      <c r="E1191" s="21" t="s">
        <v>13</v>
      </c>
      <c r="F1191" s="20">
        <v>0.2</v>
      </c>
      <c r="G1191" s="22">
        <f>C1191*F1191</f>
        <v>13.8</v>
      </c>
    </row>
    <row r="1192" spans="1:7" ht="15" customHeight="1">
      <c r="A1192" s="19" t="s">
        <v>180</v>
      </c>
      <c r="B1192" s="20" t="s">
        <v>14</v>
      </c>
      <c r="C1192" s="20">
        <v>71</v>
      </c>
      <c r="D1192" s="21" t="s">
        <v>41</v>
      </c>
      <c r="E1192" s="21" t="s">
        <v>13</v>
      </c>
      <c r="F1192" s="20">
        <v>0.25</v>
      </c>
      <c r="G1192" s="22">
        <f>C1192*F1192</f>
        <v>17.75</v>
      </c>
    </row>
    <row r="1193" spans="1:7" ht="15" customHeight="1">
      <c r="A1193" s="19" t="s">
        <v>180</v>
      </c>
      <c r="B1193" s="20" t="s">
        <v>16</v>
      </c>
      <c r="C1193" s="20">
        <v>67</v>
      </c>
      <c r="D1193" s="21" t="s">
        <v>42</v>
      </c>
      <c r="E1193" s="21" t="s">
        <v>18</v>
      </c>
      <c r="F1193" s="20">
        <v>0.4</v>
      </c>
      <c r="G1193" s="22">
        <f>C1193*F1193</f>
        <v>26.8</v>
      </c>
    </row>
    <row r="1194" spans="1:7" ht="15" customHeight="1">
      <c r="A1194" s="19" t="s">
        <v>180</v>
      </c>
      <c r="B1194" s="20" t="s">
        <v>19</v>
      </c>
      <c r="C1194" s="20">
        <v>70</v>
      </c>
      <c r="D1194" s="21" t="s">
        <v>43</v>
      </c>
      <c r="E1194" s="21" t="s">
        <v>21</v>
      </c>
      <c r="F1194" s="20">
        <v>0.2</v>
      </c>
      <c r="G1194" s="22">
        <f>C1194*F1194</f>
        <v>14</v>
      </c>
    </row>
    <row r="1195" spans="1:7" ht="15" customHeight="1">
      <c r="A1195" s="19" t="s">
        <v>180</v>
      </c>
      <c r="B1195" s="20" t="s">
        <v>22</v>
      </c>
      <c r="C1195" s="20">
        <v>67</v>
      </c>
      <c r="D1195" s="21" t="s">
        <v>44</v>
      </c>
      <c r="E1195" s="21" t="s">
        <v>24</v>
      </c>
      <c r="F1195" s="20">
        <v>0.3</v>
      </c>
      <c r="G1195" s="22">
        <f>C1195*F1195</f>
        <v>20.099999999999998</v>
      </c>
    </row>
    <row r="1196" spans="1:7" ht="15" customHeight="1">
      <c r="A1196" s="19" t="s">
        <v>180</v>
      </c>
      <c r="B1196" s="20" t="s">
        <v>25</v>
      </c>
      <c r="C1196" s="20">
        <v>68</v>
      </c>
      <c r="D1196" s="21" t="s">
        <v>45</v>
      </c>
      <c r="E1196" s="21" t="s">
        <v>27</v>
      </c>
      <c r="F1196" s="20">
        <v>0.5</v>
      </c>
      <c r="G1196" s="22">
        <f>C1196*F1196</f>
        <v>34</v>
      </c>
    </row>
    <row r="1197" spans="1:7" ht="15" customHeight="1">
      <c r="A1197" s="19" t="s">
        <v>180</v>
      </c>
      <c r="B1197" s="20" t="s">
        <v>28</v>
      </c>
      <c r="C1197" s="20">
        <v>71</v>
      </c>
      <c r="D1197" s="21" t="s">
        <v>46</v>
      </c>
      <c r="E1197" s="21" t="s">
        <v>30</v>
      </c>
      <c r="F1197" s="20">
        <v>0.1</v>
      </c>
      <c r="G1197" s="22">
        <f>C1197*F1197</f>
        <v>7.1000000000000005</v>
      </c>
    </row>
    <row r="1198" spans="1:7" ht="15" customHeight="1">
      <c r="A1198" s="19" t="s">
        <v>180</v>
      </c>
      <c r="B1198" s="20" t="s">
        <v>31</v>
      </c>
      <c r="C1198" s="20">
        <v>70</v>
      </c>
      <c r="D1198" s="21" t="s">
        <v>46</v>
      </c>
      <c r="E1198" s="21" t="s">
        <v>30</v>
      </c>
      <c r="F1198" s="20">
        <v>0.2</v>
      </c>
      <c r="G1198" s="22">
        <f>C1198*F1198</f>
        <v>14</v>
      </c>
    </row>
    <row r="1199" spans="1:7" ht="15" customHeight="1">
      <c r="A1199" s="19" t="s">
        <v>180</v>
      </c>
      <c r="B1199" s="20" t="s">
        <v>33</v>
      </c>
      <c r="C1199" s="20">
        <v>71</v>
      </c>
      <c r="D1199" s="21" t="s">
        <v>47</v>
      </c>
      <c r="E1199" s="21" t="s">
        <v>35</v>
      </c>
      <c r="F1199" s="20">
        <v>0.35</v>
      </c>
      <c r="G1199" s="22">
        <f>C1199*F1199</f>
        <v>24.849999999999998</v>
      </c>
    </row>
    <row r="1200" spans="1:7" ht="15" customHeight="1">
      <c r="A1200" s="19" t="s">
        <v>180</v>
      </c>
      <c r="B1200" s="20" t="s">
        <v>36</v>
      </c>
      <c r="C1200" s="20">
        <v>67</v>
      </c>
      <c r="D1200" s="21" t="s">
        <v>51</v>
      </c>
      <c r="E1200" s="21" t="s">
        <v>38</v>
      </c>
      <c r="F1200" s="20">
        <v>0.35</v>
      </c>
      <c r="G1200" s="22">
        <f>C1200*F1200</f>
        <v>23.45</v>
      </c>
    </row>
    <row r="1201" spans="1:7" ht="15" customHeight="1">
      <c r="A1201" s="19" t="s">
        <v>181</v>
      </c>
      <c r="B1201" s="20" t="s">
        <v>8</v>
      </c>
      <c r="C1201" s="20">
        <v>65</v>
      </c>
      <c r="D1201" s="21" t="s">
        <v>40</v>
      </c>
      <c r="E1201" s="21" t="s">
        <v>10</v>
      </c>
      <c r="F1201" s="20">
        <v>0.15</v>
      </c>
      <c r="G1201" s="22">
        <f>C1201*F1201</f>
        <v>9.75</v>
      </c>
    </row>
    <row r="1202" spans="1:7" ht="15" customHeight="1">
      <c r="A1202" s="19" t="s">
        <v>181</v>
      </c>
      <c r="B1202" s="20" t="s">
        <v>11</v>
      </c>
      <c r="C1202" s="20">
        <v>66</v>
      </c>
      <c r="D1202" s="21" t="s">
        <v>41</v>
      </c>
      <c r="E1202" s="21" t="s">
        <v>13</v>
      </c>
      <c r="F1202" s="20">
        <v>0.2</v>
      </c>
      <c r="G1202" s="22">
        <f>C1202*F1202</f>
        <v>13.200000000000001</v>
      </c>
    </row>
    <row r="1203" spans="1:7" ht="15" customHeight="1">
      <c r="A1203" s="19" t="s">
        <v>181</v>
      </c>
      <c r="B1203" s="20" t="s">
        <v>14</v>
      </c>
      <c r="C1203" s="20">
        <v>66</v>
      </c>
      <c r="D1203" s="21" t="s">
        <v>41</v>
      </c>
      <c r="E1203" s="21" t="s">
        <v>13</v>
      </c>
      <c r="F1203" s="20">
        <v>0.25</v>
      </c>
      <c r="G1203" s="22">
        <f>C1203*F1203</f>
        <v>16.5</v>
      </c>
    </row>
    <row r="1204" spans="1:7" ht="15" customHeight="1">
      <c r="A1204" s="19" t="s">
        <v>181</v>
      </c>
      <c r="B1204" s="20" t="s">
        <v>16</v>
      </c>
      <c r="C1204" s="20">
        <v>67</v>
      </c>
      <c r="D1204" s="21" t="s">
        <v>42</v>
      </c>
      <c r="E1204" s="21" t="s">
        <v>18</v>
      </c>
      <c r="F1204" s="20">
        <v>0.4</v>
      </c>
      <c r="G1204" s="22">
        <f>C1204*F1204</f>
        <v>26.8</v>
      </c>
    </row>
    <row r="1205" spans="1:7" ht="15" customHeight="1">
      <c r="A1205" s="19" t="s">
        <v>181</v>
      </c>
      <c r="B1205" s="20" t="s">
        <v>19</v>
      </c>
      <c r="C1205" s="20">
        <v>62</v>
      </c>
      <c r="D1205" s="21" t="s">
        <v>20</v>
      </c>
      <c r="E1205" s="21" t="s">
        <v>21</v>
      </c>
      <c r="F1205" s="20">
        <v>0.2</v>
      </c>
      <c r="G1205" s="22">
        <f>C1205*F1205</f>
        <v>12.4</v>
      </c>
    </row>
    <row r="1206" spans="1:7" ht="15" customHeight="1">
      <c r="A1206" s="19" t="s">
        <v>181</v>
      </c>
      <c r="B1206" s="20" t="s">
        <v>22</v>
      </c>
      <c r="C1206" s="20">
        <v>62</v>
      </c>
      <c r="D1206" s="21" t="s">
        <v>23</v>
      </c>
      <c r="E1206" s="21" t="s">
        <v>24</v>
      </c>
      <c r="F1206" s="20">
        <v>0.3</v>
      </c>
      <c r="G1206" s="22">
        <f>C1206*F1206</f>
        <v>18.599999999999998</v>
      </c>
    </row>
    <row r="1207" spans="1:7" ht="15" customHeight="1">
      <c r="A1207" s="19" t="s">
        <v>181</v>
      </c>
      <c r="B1207" s="20" t="s">
        <v>25</v>
      </c>
      <c r="C1207" s="20">
        <v>68</v>
      </c>
      <c r="D1207" s="21" t="s">
        <v>45</v>
      </c>
      <c r="E1207" s="21" t="s">
        <v>27</v>
      </c>
      <c r="F1207" s="20">
        <v>0.5</v>
      </c>
      <c r="G1207" s="22">
        <f>C1207*F1207</f>
        <v>34</v>
      </c>
    </row>
    <row r="1208" spans="1:7" ht="15" customHeight="1">
      <c r="A1208" s="19" t="s">
        <v>181</v>
      </c>
      <c r="B1208" s="20" t="s">
        <v>28</v>
      </c>
      <c r="C1208" s="20">
        <v>64</v>
      </c>
      <c r="D1208" s="21" t="s">
        <v>29</v>
      </c>
      <c r="E1208" s="21" t="s">
        <v>30</v>
      </c>
      <c r="F1208" s="20">
        <v>0.1</v>
      </c>
      <c r="G1208" s="22">
        <f>C1208*F1208</f>
        <v>6.4</v>
      </c>
    </row>
    <row r="1209" spans="1:7" ht="15" customHeight="1">
      <c r="A1209" s="19" t="s">
        <v>181</v>
      </c>
      <c r="B1209" s="20" t="s">
        <v>31</v>
      </c>
      <c r="C1209" s="20">
        <v>65</v>
      </c>
      <c r="D1209" s="21" t="s">
        <v>46</v>
      </c>
      <c r="E1209" s="21" t="s">
        <v>30</v>
      </c>
      <c r="F1209" s="20">
        <v>0.2</v>
      </c>
      <c r="G1209" s="22">
        <f>C1209*F1209</f>
        <v>13</v>
      </c>
    </row>
    <row r="1210" spans="1:7" ht="15" customHeight="1">
      <c r="A1210" s="19" t="s">
        <v>181</v>
      </c>
      <c r="B1210" s="20" t="s">
        <v>33</v>
      </c>
      <c r="C1210" s="20">
        <v>66</v>
      </c>
      <c r="D1210" s="21" t="s">
        <v>47</v>
      </c>
      <c r="E1210" s="21" t="s">
        <v>35</v>
      </c>
      <c r="F1210" s="20">
        <v>0.35</v>
      </c>
      <c r="G1210" s="22">
        <f>C1210*F1210</f>
        <v>23.099999999999998</v>
      </c>
    </row>
    <row r="1211" spans="1:7" ht="15" customHeight="1">
      <c r="A1211" s="19" t="s">
        <v>181</v>
      </c>
      <c r="B1211" s="20" t="s">
        <v>36</v>
      </c>
      <c r="C1211" s="20">
        <v>65</v>
      </c>
      <c r="D1211" s="21" t="s">
        <v>51</v>
      </c>
      <c r="E1211" s="21" t="s">
        <v>38</v>
      </c>
      <c r="F1211" s="20">
        <v>0.35</v>
      </c>
      <c r="G1211" s="22">
        <f>C1211*F1211</f>
        <v>22.75</v>
      </c>
    </row>
    <row r="1212" spans="1:7" ht="15" customHeight="1">
      <c r="A1212" s="19" t="s">
        <v>182</v>
      </c>
      <c r="B1212" s="20" t="s">
        <v>8</v>
      </c>
      <c r="C1212" s="20">
        <v>69</v>
      </c>
      <c r="D1212" s="21" t="s">
        <v>40</v>
      </c>
      <c r="E1212" s="21" t="s">
        <v>10</v>
      </c>
      <c r="F1212" s="20">
        <v>0.15</v>
      </c>
      <c r="G1212" s="22">
        <f>C1212*F1212</f>
        <v>10.35</v>
      </c>
    </row>
    <row r="1213" spans="1:7" ht="15" customHeight="1">
      <c r="A1213" s="19" t="s">
        <v>182</v>
      </c>
      <c r="B1213" s="20" t="s">
        <v>11</v>
      </c>
      <c r="C1213" s="20">
        <v>70</v>
      </c>
      <c r="D1213" s="21" t="s">
        <v>41</v>
      </c>
      <c r="E1213" s="21" t="s">
        <v>13</v>
      </c>
      <c r="F1213" s="20">
        <v>0.2</v>
      </c>
      <c r="G1213" s="22">
        <f>C1213*F1213</f>
        <v>14</v>
      </c>
    </row>
    <row r="1214" spans="1:7" ht="15" customHeight="1">
      <c r="A1214" s="19" t="s">
        <v>182</v>
      </c>
      <c r="B1214" s="20" t="s">
        <v>14</v>
      </c>
      <c r="C1214" s="20">
        <v>72</v>
      </c>
      <c r="D1214" s="21" t="s">
        <v>41</v>
      </c>
      <c r="E1214" s="21" t="s">
        <v>13</v>
      </c>
      <c r="F1214" s="20">
        <v>0.25</v>
      </c>
      <c r="G1214" s="22">
        <f>C1214*F1214</f>
        <v>18</v>
      </c>
    </row>
    <row r="1215" spans="1:7" ht="15" customHeight="1">
      <c r="A1215" s="19" t="s">
        <v>182</v>
      </c>
      <c r="B1215" s="20" t="s">
        <v>16</v>
      </c>
      <c r="C1215" s="20">
        <v>68</v>
      </c>
      <c r="D1215" s="21" t="s">
        <v>42</v>
      </c>
      <c r="E1215" s="21" t="s">
        <v>18</v>
      </c>
      <c r="F1215" s="20">
        <v>0.4</v>
      </c>
      <c r="G1215" s="22">
        <f>C1215*F1215</f>
        <v>27.200000000000003</v>
      </c>
    </row>
    <row r="1216" spans="1:7" ht="15" customHeight="1">
      <c r="A1216" s="19" t="s">
        <v>182</v>
      </c>
      <c r="B1216" s="20" t="s">
        <v>19</v>
      </c>
      <c r="C1216" s="20">
        <v>71</v>
      </c>
      <c r="D1216" s="21" t="s">
        <v>43</v>
      </c>
      <c r="E1216" s="21" t="s">
        <v>21</v>
      </c>
      <c r="F1216" s="20">
        <v>0.2</v>
      </c>
      <c r="G1216" s="22">
        <f>C1216*F1216</f>
        <v>14.200000000000001</v>
      </c>
    </row>
    <row r="1217" spans="1:7" ht="15" customHeight="1">
      <c r="A1217" s="19" t="s">
        <v>182</v>
      </c>
      <c r="B1217" s="20" t="s">
        <v>22</v>
      </c>
      <c r="C1217" s="20">
        <v>71</v>
      </c>
      <c r="D1217" s="21" t="s">
        <v>44</v>
      </c>
      <c r="E1217" s="21" t="s">
        <v>24</v>
      </c>
      <c r="F1217" s="20">
        <v>0.3</v>
      </c>
      <c r="G1217" s="22">
        <f>C1217*F1217</f>
        <v>21.3</v>
      </c>
    </row>
    <row r="1218" spans="1:7" ht="15" customHeight="1">
      <c r="A1218" s="19" t="s">
        <v>182</v>
      </c>
      <c r="B1218" s="20" t="s">
        <v>25</v>
      </c>
      <c r="C1218" s="20">
        <v>72</v>
      </c>
      <c r="D1218" s="21" t="s">
        <v>45</v>
      </c>
      <c r="E1218" s="21" t="s">
        <v>27</v>
      </c>
      <c r="F1218" s="20">
        <v>0.5</v>
      </c>
      <c r="G1218" s="22">
        <f>C1218*F1218</f>
        <v>36</v>
      </c>
    </row>
    <row r="1219" spans="1:7" ht="15" customHeight="1">
      <c r="A1219" s="19" t="s">
        <v>182</v>
      </c>
      <c r="B1219" s="20" t="s">
        <v>28</v>
      </c>
      <c r="C1219" s="20">
        <v>68</v>
      </c>
      <c r="D1219" s="21" t="s">
        <v>46</v>
      </c>
      <c r="E1219" s="21" t="s">
        <v>30</v>
      </c>
      <c r="F1219" s="20">
        <v>0.1</v>
      </c>
      <c r="G1219" s="22">
        <f>C1219*F1219</f>
        <v>6.8000000000000007</v>
      </c>
    </row>
    <row r="1220" spans="1:7" ht="15" customHeight="1">
      <c r="A1220" s="19" t="s">
        <v>182</v>
      </c>
      <c r="B1220" s="20" t="s">
        <v>31</v>
      </c>
      <c r="C1220" s="20">
        <v>68</v>
      </c>
      <c r="D1220" s="21" t="s">
        <v>46</v>
      </c>
      <c r="E1220" s="21" t="s">
        <v>30</v>
      </c>
      <c r="F1220" s="20">
        <v>0.2</v>
      </c>
      <c r="G1220" s="22">
        <f>C1220*F1220</f>
        <v>13.600000000000001</v>
      </c>
    </row>
    <row r="1221" spans="1:7" ht="15" customHeight="1">
      <c r="A1221" s="19" t="s">
        <v>182</v>
      </c>
      <c r="B1221" s="20" t="s">
        <v>33</v>
      </c>
      <c r="C1221" s="20">
        <v>63</v>
      </c>
      <c r="D1221" s="21" t="s">
        <v>34</v>
      </c>
      <c r="E1221" s="21" t="s">
        <v>35</v>
      </c>
      <c r="F1221" s="20">
        <v>0.35</v>
      </c>
      <c r="G1221" s="22">
        <f>C1221*F1221</f>
        <v>22.049999999999997</v>
      </c>
    </row>
    <row r="1222" spans="1:7" ht="15" customHeight="1">
      <c r="A1222" s="19" t="s">
        <v>182</v>
      </c>
      <c r="B1222" s="20" t="s">
        <v>36</v>
      </c>
      <c r="C1222" s="20">
        <v>66</v>
      </c>
      <c r="D1222" s="21" t="s">
        <v>51</v>
      </c>
      <c r="E1222" s="21" t="s">
        <v>38</v>
      </c>
      <c r="F1222" s="20">
        <v>0.35</v>
      </c>
      <c r="G1222" s="22">
        <f>C1222*F1222</f>
        <v>23.099999999999998</v>
      </c>
    </row>
    <row r="1223" spans="1:7" ht="15" customHeight="1">
      <c r="A1223" s="19" t="s">
        <v>183</v>
      </c>
      <c r="B1223" s="20" t="s">
        <v>8</v>
      </c>
      <c r="C1223" s="20">
        <v>82</v>
      </c>
      <c r="D1223" s="21" t="s">
        <v>56</v>
      </c>
      <c r="E1223" s="21" t="s">
        <v>10</v>
      </c>
      <c r="F1223" s="20">
        <v>0.15</v>
      </c>
      <c r="G1223" s="22">
        <f>C1223*F1223</f>
        <v>12.299999999999999</v>
      </c>
    </row>
    <row r="1224" spans="1:7" ht="15" customHeight="1">
      <c r="A1224" s="19" t="s">
        <v>183</v>
      </c>
      <c r="B1224" s="20" t="s">
        <v>11</v>
      </c>
      <c r="C1224" s="20">
        <v>79</v>
      </c>
      <c r="D1224" s="21" t="s">
        <v>61</v>
      </c>
      <c r="E1224" s="21" t="s">
        <v>13</v>
      </c>
      <c r="F1224" s="20">
        <v>0.2</v>
      </c>
      <c r="G1224" s="22">
        <f>C1224*F1224</f>
        <v>15.8</v>
      </c>
    </row>
    <row r="1225" spans="1:7" ht="15" customHeight="1">
      <c r="A1225" s="19" t="s">
        <v>183</v>
      </c>
      <c r="B1225" s="20" t="s">
        <v>14</v>
      </c>
      <c r="C1225" s="20">
        <v>84</v>
      </c>
      <c r="D1225" s="21" t="s">
        <v>61</v>
      </c>
      <c r="E1225" s="21" t="s">
        <v>13</v>
      </c>
      <c r="F1225" s="20">
        <v>0.25</v>
      </c>
      <c r="G1225" s="22">
        <f>C1225*F1225</f>
        <v>21</v>
      </c>
    </row>
    <row r="1226" spans="1:7" ht="15" customHeight="1">
      <c r="A1226" s="19" t="s">
        <v>183</v>
      </c>
      <c r="B1226" s="20" t="s">
        <v>16</v>
      </c>
      <c r="C1226" s="20">
        <v>84</v>
      </c>
      <c r="D1226" s="21" t="s">
        <v>57</v>
      </c>
      <c r="E1226" s="21" t="s">
        <v>18</v>
      </c>
      <c r="F1226" s="20">
        <v>0.4</v>
      </c>
      <c r="G1226" s="22">
        <f>C1226*F1226</f>
        <v>33.6</v>
      </c>
    </row>
    <row r="1227" spans="1:7" ht="15" customHeight="1">
      <c r="A1227" s="19" t="s">
        <v>183</v>
      </c>
      <c r="B1227" s="20" t="s">
        <v>19</v>
      </c>
      <c r="C1227" s="20">
        <v>82</v>
      </c>
      <c r="D1227" s="21" t="s">
        <v>66</v>
      </c>
      <c r="E1227" s="21" t="s">
        <v>21</v>
      </c>
      <c r="F1227" s="20">
        <v>0.2</v>
      </c>
      <c r="G1227" s="22">
        <f>C1227*F1227</f>
        <v>16.400000000000002</v>
      </c>
    </row>
    <row r="1228" spans="1:7" ht="15" customHeight="1">
      <c r="A1228" s="19" t="s">
        <v>183</v>
      </c>
      <c r="B1228" s="20" t="s">
        <v>22</v>
      </c>
      <c r="C1228" s="20">
        <v>76</v>
      </c>
      <c r="D1228" s="21" t="s">
        <v>58</v>
      </c>
      <c r="E1228" s="21" t="s">
        <v>24</v>
      </c>
      <c r="F1228" s="20">
        <v>0.3</v>
      </c>
      <c r="G1228" s="22">
        <f>C1228*F1228</f>
        <v>22.8</v>
      </c>
    </row>
    <row r="1229" spans="1:7" ht="15" customHeight="1">
      <c r="A1229" s="19" t="s">
        <v>183</v>
      </c>
      <c r="B1229" s="20" t="s">
        <v>25</v>
      </c>
      <c r="C1229" s="20">
        <v>78</v>
      </c>
      <c r="D1229" s="21" t="s">
        <v>67</v>
      </c>
      <c r="E1229" s="21" t="s">
        <v>27</v>
      </c>
      <c r="F1229" s="20">
        <v>0.5</v>
      </c>
      <c r="G1229" s="22">
        <f>C1229*F1229</f>
        <v>39</v>
      </c>
    </row>
    <row r="1230" spans="1:7" ht="15" customHeight="1">
      <c r="A1230" s="19" t="s">
        <v>183</v>
      </c>
      <c r="B1230" s="20" t="s">
        <v>28</v>
      </c>
      <c r="C1230" s="20">
        <v>77</v>
      </c>
      <c r="D1230" s="21" t="s">
        <v>62</v>
      </c>
      <c r="E1230" s="21" t="s">
        <v>30</v>
      </c>
      <c r="F1230" s="20">
        <v>0.1</v>
      </c>
      <c r="G1230" s="22">
        <f>C1230*F1230</f>
        <v>7.7</v>
      </c>
    </row>
    <row r="1231" spans="1:7" ht="15" customHeight="1">
      <c r="A1231" s="19" t="s">
        <v>183</v>
      </c>
      <c r="B1231" s="20" t="s">
        <v>31</v>
      </c>
      <c r="C1231" s="20">
        <v>81</v>
      </c>
      <c r="D1231" s="21" t="s">
        <v>62</v>
      </c>
      <c r="E1231" s="21" t="s">
        <v>30</v>
      </c>
      <c r="F1231" s="20">
        <v>0.2</v>
      </c>
      <c r="G1231" s="22">
        <f>C1231*F1231</f>
        <v>16.2</v>
      </c>
    </row>
    <row r="1232" spans="1:7" ht="15" customHeight="1">
      <c r="A1232" s="19" t="s">
        <v>183</v>
      </c>
      <c r="B1232" s="20" t="s">
        <v>33</v>
      </c>
      <c r="C1232" s="20">
        <v>75</v>
      </c>
      <c r="D1232" s="21" t="s">
        <v>63</v>
      </c>
      <c r="E1232" s="21" t="s">
        <v>35</v>
      </c>
      <c r="F1232" s="20">
        <v>0.35</v>
      </c>
      <c r="G1232" s="22">
        <f>C1232*F1232</f>
        <v>26.25</v>
      </c>
    </row>
    <row r="1233" spans="1:7" ht="15" customHeight="1">
      <c r="A1233" s="19" t="s">
        <v>183</v>
      </c>
      <c r="B1233" s="20" t="s">
        <v>36</v>
      </c>
      <c r="C1233" s="20">
        <v>78</v>
      </c>
      <c r="D1233" s="21" t="s">
        <v>59</v>
      </c>
      <c r="E1233" s="21" t="s">
        <v>38</v>
      </c>
      <c r="F1233" s="20">
        <v>0.35</v>
      </c>
      <c r="G1233" s="22">
        <f>C1233*F1233</f>
        <v>27.299999999999997</v>
      </c>
    </row>
    <row r="1234" spans="1:7" ht="15" customHeight="1">
      <c r="A1234" s="19" t="s">
        <v>184</v>
      </c>
      <c r="B1234" s="20" t="s">
        <v>8</v>
      </c>
      <c r="C1234" s="20">
        <v>84</v>
      </c>
      <c r="D1234" s="21" t="s">
        <v>56</v>
      </c>
      <c r="E1234" s="21" t="s">
        <v>10</v>
      </c>
      <c r="F1234" s="20">
        <v>0.15</v>
      </c>
      <c r="G1234" s="22">
        <f>C1234*F1234</f>
        <v>12.6</v>
      </c>
    </row>
    <row r="1235" spans="1:7" ht="15" customHeight="1">
      <c r="A1235" s="19" t="s">
        <v>184</v>
      </c>
      <c r="B1235" s="20" t="s">
        <v>11</v>
      </c>
      <c r="C1235" s="20">
        <v>85</v>
      </c>
      <c r="D1235" s="21" t="s">
        <v>75</v>
      </c>
      <c r="E1235" s="21" t="s">
        <v>13</v>
      </c>
      <c r="F1235" s="20">
        <v>0.2</v>
      </c>
      <c r="G1235" s="22">
        <f>C1235*F1235</f>
        <v>17</v>
      </c>
    </row>
    <row r="1236" spans="1:7" ht="15" customHeight="1">
      <c r="A1236" s="19" t="s">
        <v>184</v>
      </c>
      <c r="B1236" s="20" t="s">
        <v>14</v>
      </c>
      <c r="C1236" s="20">
        <v>84</v>
      </c>
      <c r="D1236" s="21" t="s">
        <v>61</v>
      </c>
      <c r="E1236" s="21" t="s">
        <v>13</v>
      </c>
      <c r="F1236" s="20">
        <v>0.25</v>
      </c>
      <c r="G1236" s="22">
        <f>C1236*F1236</f>
        <v>21</v>
      </c>
    </row>
    <row r="1237" spans="1:7" ht="15" customHeight="1">
      <c r="A1237" s="19" t="s">
        <v>184</v>
      </c>
      <c r="B1237" s="20" t="s">
        <v>16</v>
      </c>
      <c r="C1237" s="20">
        <v>80</v>
      </c>
      <c r="D1237" s="21" t="s">
        <v>57</v>
      </c>
      <c r="E1237" s="21" t="s">
        <v>18</v>
      </c>
      <c r="F1237" s="20">
        <v>0.4</v>
      </c>
      <c r="G1237" s="22">
        <f>C1237*F1237</f>
        <v>32</v>
      </c>
    </row>
    <row r="1238" spans="1:7" ht="15" customHeight="1">
      <c r="A1238" s="19" t="s">
        <v>184</v>
      </c>
      <c r="B1238" s="20" t="s">
        <v>19</v>
      </c>
      <c r="C1238" s="20">
        <v>84</v>
      </c>
      <c r="D1238" s="21" t="s">
        <v>66</v>
      </c>
      <c r="E1238" s="21" t="s">
        <v>21</v>
      </c>
      <c r="F1238" s="20">
        <v>0.2</v>
      </c>
      <c r="G1238" s="22">
        <f>C1238*F1238</f>
        <v>16.8</v>
      </c>
    </row>
    <row r="1239" spans="1:7" ht="15" customHeight="1">
      <c r="A1239" s="19" t="s">
        <v>184</v>
      </c>
      <c r="B1239" s="20" t="s">
        <v>22</v>
      </c>
      <c r="C1239" s="20">
        <v>79</v>
      </c>
      <c r="D1239" s="21" t="s">
        <v>58</v>
      </c>
      <c r="E1239" s="21" t="s">
        <v>24</v>
      </c>
      <c r="F1239" s="20">
        <v>0.3</v>
      </c>
      <c r="G1239" s="22">
        <f>C1239*F1239</f>
        <v>23.7</v>
      </c>
    </row>
    <row r="1240" spans="1:7" ht="15" customHeight="1">
      <c r="A1240" s="19" t="s">
        <v>184</v>
      </c>
      <c r="B1240" s="20" t="s">
        <v>25</v>
      </c>
      <c r="C1240" s="20">
        <v>80</v>
      </c>
      <c r="D1240" s="21" t="s">
        <v>67</v>
      </c>
      <c r="E1240" s="21" t="s">
        <v>27</v>
      </c>
      <c r="F1240" s="20">
        <v>0.5</v>
      </c>
      <c r="G1240" s="22">
        <f>C1240*F1240</f>
        <v>40</v>
      </c>
    </row>
    <row r="1241" spans="1:7" ht="15" customHeight="1">
      <c r="A1241" s="19" t="s">
        <v>184</v>
      </c>
      <c r="B1241" s="20" t="s">
        <v>28</v>
      </c>
      <c r="C1241" s="20">
        <v>86</v>
      </c>
      <c r="D1241" s="21" t="s">
        <v>90</v>
      </c>
      <c r="E1241" s="21" t="s">
        <v>30</v>
      </c>
      <c r="F1241" s="20">
        <v>0.1</v>
      </c>
      <c r="G1241" s="22">
        <f>C1241*F1241</f>
        <v>8.6</v>
      </c>
    </row>
    <row r="1242" spans="1:7" ht="15" customHeight="1">
      <c r="A1242" s="19" t="s">
        <v>184</v>
      </c>
      <c r="B1242" s="20" t="s">
        <v>31</v>
      </c>
      <c r="C1242" s="20">
        <v>88</v>
      </c>
      <c r="D1242" s="21" t="s">
        <v>90</v>
      </c>
      <c r="E1242" s="21" t="s">
        <v>30</v>
      </c>
      <c r="F1242" s="20">
        <v>0.2</v>
      </c>
      <c r="G1242" s="22">
        <f>C1242*F1242</f>
        <v>17.600000000000001</v>
      </c>
    </row>
    <row r="1243" spans="1:7" ht="15" customHeight="1">
      <c r="A1243" s="19" t="s">
        <v>184</v>
      </c>
      <c r="B1243" s="20" t="s">
        <v>33</v>
      </c>
      <c r="C1243" s="20">
        <v>84</v>
      </c>
      <c r="D1243" s="21" t="s">
        <v>63</v>
      </c>
      <c r="E1243" s="21" t="s">
        <v>35</v>
      </c>
      <c r="F1243" s="20">
        <v>0.35</v>
      </c>
      <c r="G1243" s="22">
        <f>C1243*F1243</f>
        <v>29.4</v>
      </c>
    </row>
    <row r="1244" spans="1:7" ht="15" customHeight="1">
      <c r="A1244" s="19" t="s">
        <v>184</v>
      </c>
      <c r="B1244" s="20" t="s">
        <v>36</v>
      </c>
      <c r="C1244" s="20">
        <v>85</v>
      </c>
      <c r="D1244" s="21" t="s">
        <v>111</v>
      </c>
      <c r="E1244" s="21" t="s">
        <v>38</v>
      </c>
      <c r="F1244" s="20">
        <v>0.35</v>
      </c>
      <c r="G1244" s="22">
        <f>C1244*F1244</f>
        <v>29.749999999999996</v>
      </c>
    </row>
    <row r="1245" spans="1:7" ht="15" customHeight="1">
      <c r="A1245" s="19" t="s">
        <v>185</v>
      </c>
      <c r="B1245" s="20" t="s">
        <v>8</v>
      </c>
      <c r="C1245" s="20">
        <v>70</v>
      </c>
      <c r="D1245" s="21" t="s">
        <v>40</v>
      </c>
      <c r="E1245" s="21" t="s">
        <v>10</v>
      </c>
      <c r="F1245" s="20">
        <v>0.15</v>
      </c>
      <c r="G1245" s="22">
        <f>C1245*F1245</f>
        <v>10.5</v>
      </c>
    </row>
    <row r="1246" spans="1:7" ht="15" customHeight="1">
      <c r="A1246" s="19" t="s">
        <v>185</v>
      </c>
      <c r="B1246" s="20" t="s">
        <v>11</v>
      </c>
      <c r="C1246" s="20">
        <v>66</v>
      </c>
      <c r="D1246" s="21" t="s">
        <v>41</v>
      </c>
      <c r="E1246" s="21" t="s">
        <v>13</v>
      </c>
      <c r="F1246" s="20">
        <v>0.2</v>
      </c>
      <c r="G1246" s="22">
        <f>C1246*F1246</f>
        <v>13.200000000000001</v>
      </c>
    </row>
    <row r="1247" spans="1:7" ht="15" customHeight="1">
      <c r="A1247" s="19" t="s">
        <v>185</v>
      </c>
      <c r="B1247" s="20" t="s">
        <v>14</v>
      </c>
      <c r="C1247" s="20">
        <v>71</v>
      </c>
      <c r="D1247" s="21" t="s">
        <v>41</v>
      </c>
      <c r="E1247" s="21" t="s">
        <v>13</v>
      </c>
      <c r="F1247" s="20">
        <v>0.25</v>
      </c>
      <c r="G1247" s="22">
        <f>C1247*F1247</f>
        <v>17.75</v>
      </c>
    </row>
    <row r="1248" spans="1:7" ht="15" customHeight="1">
      <c r="A1248" s="19" t="s">
        <v>185</v>
      </c>
      <c r="B1248" s="20" t="s">
        <v>16</v>
      </c>
      <c r="C1248" s="20">
        <v>67</v>
      </c>
      <c r="D1248" s="21" t="s">
        <v>42</v>
      </c>
      <c r="E1248" s="21" t="s">
        <v>18</v>
      </c>
      <c r="F1248" s="20">
        <v>0.4</v>
      </c>
      <c r="G1248" s="22">
        <f>C1248*F1248</f>
        <v>26.8</v>
      </c>
    </row>
    <row r="1249" spans="1:7" ht="15" customHeight="1">
      <c r="A1249" s="19" t="s">
        <v>185</v>
      </c>
      <c r="B1249" s="20" t="s">
        <v>19</v>
      </c>
      <c r="C1249" s="20">
        <v>69</v>
      </c>
      <c r="D1249" s="21" t="s">
        <v>43</v>
      </c>
      <c r="E1249" s="21" t="s">
        <v>21</v>
      </c>
      <c r="F1249" s="20">
        <v>0.2</v>
      </c>
      <c r="G1249" s="22">
        <f>C1249*F1249</f>
        <v>13.8</v>
      </c>
    </row>
    <row r="1250" spans="1:7" ht="15" customHeight="1">
      <c r="A1250" s="19" t="s">
        <v>185</v>
      </c>
      <c r="B1250" s="20" t="s">
        <v>22</v>
      </c>
      <c r="C1250" s="20">
        <v>70</v>
      </c>
      <c r="D1250" s="21" t="s">
        <v>44</v>
      </c>
      <c r="E1250" s="21" t="s">
        <v>24</v>
      </c>
      <c r="F1250" s="20">
        <v>0.3</v>
      </c>
      <c r="G1250" s="22">
        <f>C1250*F1250</f>
        <v>21</v>
      </c>
    </row>
    <row r="1251" spans="1:7" ht="15" customHeight="1">
      <c r="A1251" s="19" t="s">
        <v>185</v>
      </c>
      <c r="B1251" s="20" t="s">
        <v>25</v>
      </c>
      <c r="C1251" s="20">
        <v>69</v>
      </c>
      <c r="D1251" s="21" t="s">
        <v>45</v>
      </c>
      <c r="E1251" s="21" t="s">
        <v>27</v>
      </c>
      <c r="F1251" s="20">
        <v>0.5</v>
      </c>
      <c r="G1251" s="22">
        <f>C1251*F1251</f>
        <v>34.5</v>
      </c>
    </row>
    <row r="1252" spans="1:7" ht="15" customHeight="1">
      <c r="A1252" s="19" t="s">
        <v>185</v>
      </c>
      <c r="B1252" s="20" t="s">
        <v>28</v>
      </c>
      <c r="C1252" s="20">
        <v>69</v>
      </c>
      <c r="D1252" s="21" t="s">
        <v>46</v>
      </c>
      <c r="E1252" s="21" t="s">
        <v>30</v>
      </c>
      <c r="F1252" s="20">
        <v>0.1</v>
      </c>
      <c r="G1252" s="22">
        <f>C1252*F1252</f>
        <v>6.9</v>
      </c>
    </row>
    <row r="1253" spans="1:7" ht="15" customHeight="1">
      <c r="A1253" s="19" t="s">
        <v>185</v>
      </c>
      <c r="B1253" s="20" t="s">
        <v>31</v>
      </c>
      <c r="C1253" s="20">
        <v>66</v>
      </c>
      <c r="D1253" s="21" t="s">
        <v>46</v>
      </c>
      <c r="E1253" s="21" t="s">
        <v>30</v>
      </c>
      <c r="F1253" s="20">
        <v>0.2</v>
      </c>
      <c r="G1253" s="22">
        <f>C1253*F1253</f>
        <v>13.200000000000001</v>
      </c>
    </row>
    <row r="1254" spans="1:7" ht="15" customHeight="1">
      <c r="A1254" s="19" t="s">
        <v>185</v>
      </c>
      <c r="B1254" s="20" t="s">
        <v>33</v>
      </c>
      <c r="C1254" s="20">
        <v>67</v>
      </c>
      <c r="D1254" s="21" t="s">
        <v>47</v>
      </c>
      <c r="E1254" s="21" t="s">
        <v>35</v>
      </c>
      <c r="F1254" s="20">
        <v>0.35</v>
      </c>
      <c r="G1254" s="22">
        <f>C1254*F1254</f>
        <v>23.45</v>
      </c>
    </row>
    <row r="1255" spans="1:7" ht="15" customHeight="1">
      <c r="A1255" s="19" t="s">
        <v>185</v>
      </c>
      <c r="B1255" s="20" t="s">
        <v>36</v>
      </c>
      <c r="C1255" s="20">
        <v>66</v>
      </c>
      <c r="D1255" s="21" t="s">
        <v>51</v>
      </c>
      <c r="E1255" s="21" t="s">
        <v>38</v>
      </c>
      <c r="F1255" s="20">
        <v>0.35</v>
      </c>
      <c r="G1255" s="22">
        <f>C1255*F1255</f>
        <v>23.099999999999998</v>
      </c>
    </row>
    <row r="1256" spans="1:7" ht="15" customHeight="1">
      <c r="A1256" s="19" t="s">
        <v>186</v>
      </c>
      <c r="B1256" s="20" t="s">
        <v>8</v>
      </c>
      <c r="C1256" s="20">
        <v>59</v>
      </c>
      <c r="D1256" s="21" t="s">
        <v>9</v>
      </c>
      <c r="E1256" s="21" t="s">
        <v>10</v>
      </c>
      <c r="F1256" s="20">
        <v>0.15</v>
      </c>
      <c r="G1256" s="22">
        <f>C1256*F1256</f>
        <v>8.85</v>
      </c>
    </row>
    <row r="1257" spans="1:7" ht="15" customHeight="1">
      <c r="A1257" s="19" t="s">
        <v>186</v>
      </c>
      <c r="B1257" s="20" t="s">
        <v>11</v>
      </c>
      <c r="C1257" s="20">
        <v>57</v>
      </c>
      <c r="D1257" s="21" t="s">
        <v>15</v>
      </c>
      <c r="E1257" s="21" t="s">
        <v>13</v>
      </c>
      <c r="F1257" s="20">
        <v>0.2</v>
      </c>
      <c r="G1257" s="22">
        <f>C1257*F1257</f>
        <v>11.4</v>
      </c>
    </row>
    <row r="1258" spans="1:7" ht="15" customHeight="1">
      <c r="A1258" s="19" t="s">
        <v>186</v>
      </c>
      <c r="B1258" s="20" t="s">
        <v>14</v>
      </c>
      <c r="C1258" s="20">
        <v>62</v>
      </c>
      <c r="D1258" s="21" t="s">
        <v>15</v>
      </c>
      <c r="E1258" s="21" t="s">
        <v>13</v>
      </c>
      <c r="F1258" s="20">
        <v>0.25</v>
      </c>
      <c r="G1258" s="22">
        <f>C1258*F1258</f>
        <v>15.5</v>
      </c>
    </row>
    <row r="1259" spans="1:7" ht="15" customHeight="1">
      <c r="A1259" s="19" t="s">
        <v>186</v>
      </c>
      <c r="B1259" s="20" t="s">
        <v>16</v>
      </c>
      <c r="C1259" s="20">
        <v>56</v>
      </c>
      <c r="D1259" s="21" t="s">
        <v>17</v>
      </c>
      <c r="E1259" s="21" t="s">
        <v>18</v>
      </c>
      <c r="F1259" s="20">
        <v>0.4</v>
      </c>
      <c r="G1259" s="22">
        <f>C1259*F1259</f>
        <v>22.400000000000002</v>
      </c>
    </row>
    <row r="1260" spans="1:7" ht="15" customHeight="1">
      <c r="A1260" s="19" t="s">
        <v>186</v>
      </c>
      <c r="B1260" s="20" t="s">
        <v>19</v>
      </c>
      <c r="C1260" s="20">
        <v>59</v>
      </c>
      <c r="D1260" s="21" t="s">
        <v>20</v>
      </c>
      <c r="E1260" s="21" t="s">
        <v>21</v>
      </c>
      <c r="F1260" s="20">
        <v>0.2</v>
      </c>
      <c r="G1260" s="22">
        <f>C1260*F1260</f>
        <v>11.8</v>
      </c>
    </row>
    <row r="1261" spans="1:7" ht="15" customHeight="1">
      <c r="A1261" s="19" t="s">
        <v>186</v>
      </c>
      <c r="B1261" s="20" t="s">
        <v>22</v>
      </c>
      <c r="C1261" s="20">
        <v>53</v>
      </c>
      <c r="D1261" s="21" t="s">
        <v>23</v>
      </c>
      <c r="E1261" s="21" t="s">
        <v>24</v>
      </c>
      <c r="F1261" s="20">
        <v>0.3</v>
      </c>
      <c r="G1261" s="22">
        <f>C1261*F1261</f>
        <v>15.899999999999999</v>
      </c>
    </row>
    <row r="1262" spans="1:7" ht="15" customHeight="1">
      <c r="A1262" s="19" t="s">
        <v>186</v>
      </c>
      <c r="B1262" s="20" t="s">
        <v>25</v>
      </c>
      <c r="C1262" s="20">
        <v>58</v>
      </c>
      <c r="D1262" s="21" t="s">
        <v>50</v>
      </c>
      <c r="E1262" s="21" t="s">
        <v>27</v>
      </c>
      <c r="F1262" s="20">
        <v>0.5</v>
      </c>
      <c r="G1262" s="22">
        <f>C1262*F1262</f>
        <v>29</v>
      </c>
    </row>
    <row r="1263" spans="1:7" ht="15" customHeight="1">
      <c r="A1263" s="19" t="s">
        <v>186</v>
      </c>
      <c r="B1263" s="20" t="s">
        <v>28</v>
      </c>
      <c r="C1263" s="20">
        <v>58</v>
      </c>
      <c r="D1263" s="21" t="s">
        <v>29</v>
      </c>
      <c r="E1263" s="21" t="s">
        <v>30</v>
      </c>
      <c r="F1263" s="20">
        <v>0.1</v>
      </c>
      <c r="G1263" s="22">
        <f>C1263*F1263</f>
        <v>5.8000000000000007</v>
      </c>
    </row>
    <row r="1264" spans="1:7" ht="15" customHeight="1">
      <c r="A1264" s="19" t="s">
        <v>186</v>
      </c>
      <c r="B1264" s="20" t="s">
        <v>31</v>
      </c>
      <c r="C1264" s="20">
        <v>58</v>
      </c>
      <c r="D1264" s="21" t="s">
        <v>29</v>
      </c>
      <c r="E1264" s="21" t="s">
        <v>30</v>
      </c>
      <c r="F1264" s="20">
        <v>0.2</v>
      </c>
      <c r="G1264" s="22">
        <f>C1264*F1264</f>
        <v>11.600000000000001</v>
      </c>
    </row>
    <row r="1265" spans="1:7" ht="15" customHeight="1">
      <c r="A1265" s="19" t="s">
        <v>186</v>
      </c>
      <c r="B1265" s="20" t="s">
        <v>33</v>
      </c>
      <c r="C1265" s="20">
        <v>54</v>
      </c>
      <c r="D1265" s="21" t="s">
        <v>34</v>
      </c>
      <c r="E1265" s="21" t="s">
        <v>35</v>
      </c>
      <c r="F1265" s="20">
        <v>0.35</v>
      </c>
      <c r="G1265" s="22">
        <f>C1265*F1265</f>
        <v>18.899999999999999</v>
      </c>
    </row>
    <row r="1266" spans="1:7" ht="15" customHeight="1">
      <c r="A1266" s="19" t="s">
        <v>186</v>
      </c>
      <c r="B1266" s="20" t="s">
        <v>36</v>
      </c>
      <c r="C1266" s="20">
        <v>54</v>
      </c>
      <c r="D1266" s="21" t="s">
        <v>48</v>
      </c>
      <c r="E1266" s="21" t="s">
        <v>38</v>
      </c>
      <c r="F1266" s="20">
        <v>0.35</v>
      </c>
      <c r="G1266" s="22">
        <f>C1266*F1266</f>
        <v>18.899999999999999</v>
      </c>
    </row>
    <row r="1267" spans="1:7" ht="15" customHeight="1">
      <c r="A1267" s="19" t="s">
        <v>187</v>
      </c>
      <c r="B1267" s="20" t="s">
        <v>8</v>
      </c>
      <c r="C1267" s="20">
        <v>67</v>
      </c>
      <c r="D1267" s="21" t="s">
        <v>40</v>
      </c>
      <c r="E1267" s="21" t="s">
        <v>10</v>
      </c>
      <c r="F1267" s="20">
        <v>0.15</v>
      </c>
      <c r="G1267" s="22">
        <f>C1267*F1267</f>
        <v>10.049999999999999</v>
      </c>
    </row>
    <row r="1268" spans="1:7" ht="15" customHeight="1">
      <c r="A1268" s="19" t="s">
        <v>187</v>
      </c>
      <c r="B1268" s="20" t="s">
        <v>11</v>
      </c>
      <c r="C1268" s="20">
        <v>67</v>
      </c>
      <c r="D1268" s="21" t="s">
        <v>41</v>
      </c>
      <c r="E1268" s="21" t="s">
        <v>13</v>
      </c>
      <c r="F1268" s="20">
        <v>0.2</v>
      </c>
      <c r="G1268" s="22">
        <f>C1268*F1268</f>
        <v>13.4</v>
      </c>
    </row>
    <row r="1269" spans="1:7" ht="15" customHeight="1">
      <c r="A1269" s="19" t="s">
        <v>187</v>
      </c>
      <c r="B1269" s="20" t="s">
        <v>14</v>
      </c>
      <c r="C1269" s="20">
        <v>70</v>
      </c>
      <c r="D1269" s="21" t="s">
        <v>41</v>
      </c>
      <c r="E1269" s="21" t="s">
        <v>13</v>
      </c>
      <c r="F1269" s="20">
        <v>0.25</v>
      </c>
      <c r="G1269" s="22">
        <f>C1269*F1269</f>
        <v>17.5</v>
      </c>
    </row>
    <row r="1270" spans="1:7" ht="15" customHeight="1">
      <c r="A1270" s="19" t="s">
        <v>187</v>
      </c>
      <c r="B1270" s="20" t="s">
        <v>16</v>
      </c>
      <c r="C1270" s="20">
        <v>72</v>
      </c>
      <c r="D1270" s="21" t="s">
        <v>42</v>
      </c>
      <c r="E1270" s="21" t="s">
        <v>18</v>
      </c>
      <c r="F1270" s="20">
        <v>0.4</v>
      </c>
      <c r="G1270" s="22">
        <f>C1270*F1270</f>
        <v>28.8</v>
      </c>
    </row>
    <row r="1271" spans="1:7" ht="15" customHeight="1">
      <c r="A1271" s="19" t="s">
        <v>187</v>
      </c>
      <c r="B1271" s="20" t="s">
        <v>19</v>
      </c>
      <c r="C1271" s="20">
        <v>67</v>
      </c>
      <c r="D1271" s="21" t="s">
        <v>43</v>
      </c>
      <c r="E1271" s="21" t="s">
        <v>21</v>
      </c>
      <c r="F1271" s="20">
        <v>0.2</v>
      </c>
      <c r="G1271" s="22">
        <f>C1271*F1271</f>
        <v>13.4</v>
      </c>
    </row>
    <row r="1272" spans="1:7" ht="15" customHeight="1">
      <c r="A1272" s="19" t="s">
        <v>187</v>
      </c>
      <c r="B1272" s="20" t="s">
        <v>22</v>
      </c>
      <c r="C1272" s="20">
        <v>68</v>
      </c>
      <c r="D1272" s="21" t="s">
        <v>44</v>
      </c>
      <c r="E1272" s="21" t="s">
        <v>24</v>
      </c>
      <c r="F1272" s="20">
        <v>0.3</v>
      </c>
      <c r="G1272" s="22">
        <f>C1272*F1272</f>
        <v>20.399999999999999</v>
      </c>
    </row>
    <row r="1273" spans="1:7" ht="15" customHeight="1">
      <c r="A1273" s="19" t="s">
        <v>187</v>
      </c>
      <c r="B1273" s="20" t="s">
        <v>25</v>
      </c>
      <c r="C1273" s="20">
        <v>66</v>
      </c>
      <c r="D1273" s="21" t="s">
        <v>45</v>
      </c>
      <c r="E1273" s="21" t="s">
        <v>27</v>
      </c>
      <c r="F1273" s="20">
        <v>0.5</v>
      </c>
      <c r="G1273" s="22">
        <f>C1273*F1273</f>
        <v>33</v>
      </c>
    </row>
    <row r="1274" spans="1:7" ht="15" customHeight="1">
      <c r="A1274" s="19" t="s">
        <v>187</v>
      </c>
      <c r="B1274" s="20" t="s">
        <v>28</v>
      </c>
      <c r="C1274" s="20">
        <v>68</v>
      </c>
      <c r="D1274" s="21" t="s">
        <v>46</v>
      </c>
      <c r="E1274" s="21" t="s">
        <v>30</v>
      </c>
      <c r="F1274" s="20">
        <v>0.1</v>
      </c>
      <c r="G1274" s="22">
        <f>C1274*F1274</f>
        <v>6.8000000000000007</v>
      </c>
    </row>
    <row r="1275" spans="1:7" ht="15" customHeight="1">
      <c r="A1275" s="19" t="s">
        <v>187</v>
      </c>
      <c r="B1275" s="20" t="s">
        <v>31</v>
      </c>
      <c r="C1275" s="20">
        <v>72</v>
      </c>
      <c r="D1275" s="21" t="s">
        <v>46</v>
      </c>
      <c r="E1275" s="21" t="s">
        <v>30</v>
      </c>
      <c r="F1275" s="20">
        <v>0.2</v>
      </c>
      <c r="G1275" s="22">
        <f>C1275*F1275</f>
        <v>14.4</v>
      </c>
    </row>
    <row r="1276" spans="1:7" ht="15" customHeight="1">
      <c r="A1276" s="19" t="s">
        <v>187</v>
      </c>
      <c r="B1276" s="20" t="s">
        <v>33</v>
      </c>
      <c r="C1276" s="20">
        <v>70</v>
      </c>
      <c r="D1276" s="21" t="s">
        <v>47</v>
      </c>
      <c r="E1276" s="21" t="s">
        <v>35</v>
      </c>
      <c r="F1276" s="20">
        <v>0.35</v>
      </c>
      <c r="G1276" s="22">
        <f>C1276*F1276</f>
        <v>24.5</v>
      </c>
    </row>
    <row r="1277" spans="1:7" ht="15" customHeight="1">
      <c r="A1277" s="19" t="s">
        <v>187</v>
      </c>
      <c r="B1277" s="20" t="s">
        <v>36</v>
      </c>
      <c r="C1277" s="20">
        <v>70</v>
      </c>
      <c r="D1277" s="21" t="s">
        <v>51</v>
      </c>
      <c r="E1277" s="21" t="s">
        <v>38</v>
      </c>
      <c r="F1277" s="20">
        <v>0.35</v>
      </c>
      <c r="G1277" s="22">
        <f>C1277*F1277</f>
        <v>24.5</v>
      </c>
    </row>
    <row r="1278" spans="1:7" ht="15" customHeight="1">
      <c r="A1278" s="19" t="s">
        <v>188</v>
      </c>
      <c r="B1278" s="20" t="s">
        <v>8</v>
      </c>
      <c r="C1278" s="20">
        <v>70</v>
      </c>
      <c r="D1278" s="21" t="s">
        <v>40</v>
      </c>
      <c r="E1278" s="21" t="s">
        <v>10</v>
      </c>
      <c r="F1278" s="20">
        <v>0.15</v>
      </c>
      <c r="G1278" s="22">
        <f>C1278*F1278</f>
        <v>10.5</v>
      </c>
    </row>
    <row r="1279" spans="1:7" ht="15" customHeight="1">
      <c r="A1279" s="19" t="s">
        <v>188</v>
      </c>
      <c r="B1279" s="20" t="s">
        <v>11</v>
      </c>
      <c r="C1279" s="20">
        <v>75</v>
      </c>
      <c r="D1279" s="21" t="s">
        <v>61</v>
      </c>
      <c r="E1279" s="21" t="s">
        <v>13</v>
      </c>
      <c r="F1279" s="20">
        <v>0.2</v>
      </c>
      <c r="G1279" s="22">
        <f>C1279*F1279</f>
        <v>15</v>
      </c>
    </row>
    <row r="1280" spans="1:7" ht="15" customHeight="1">
      <c r="A1280" s="19" t="s">
        <v>188</v>
      </c>
      <c r="B1280" s="20" t="s">
        <v>14</v>
      </c>
      <c r="C1280" s="20">
        <v>76</v>
      </c>
      <c r="D1280" s="21" t="s">
        <v>61</v>
      </c>
      <c r="E1280" s="21" t="s">
        <v>13</v>
      </c>
      <c r="F1280" s="20">
        <v>0.25</v>
      </c>
      <c r="G1280" s="22">
        <f>C1280*F1280</f>
        <v>19</v>
      </c>
    </row>
    <row r="1281" spans="1:7" ht="15" customHeight="1">
      <c r="A1281" s="19" t="s">
        <v>188</v>
      </c>
      <c r="B1281" s="20" t="s">
        <v>16</v>
      </c>
      <c r="C1281" s="20">
        <v>74</v>
      </c>
      <c r="D1281" s="21" t="s">
        <v>42</v>
      </c>
      <c r="E1281" s="21" t="s">
        <v>18</v>
      </c>
      <c r="F1281" s="20">
        <v>0.4</v>
      </c>
      <c r="G1281" s="22">
        <f>C1281*F1281</f>
        <v>29.6</v>
      </c>
    </row>
    <row r="1282" spans="1:7" ht="15" customHeight="1">
      <c r="A1282" s="19" t="s">
        <v>188</v>
      </c>
      <c r="B1282" s="20" t="s">
        <v>19</v>
      </c>
      <c r="C1282" s="20">
        <v>72</v>
      </c>
      <c r="D1282" s="21" t="s">
        <v>43</v>
      </c>
      <c r="E1282" s="21" t="s">
        <v>21</v>
      </c>
      <c r="F1282" s="20">
        <v>0.2</v>
      </c>
      <c r="G1282" s="22">
        <f>C1282*F1282</f>
        <v>14.4</v>
      </c>
    </row>
    <row r="1283" spans="1:7" ht="15" customHeight="1">
      <c r="A1283" s="19" t="s">
        <v>188</v>
      </c>
      <c r="B1283" s="20" t="s">
        <v>22</v>
      </c>
      <c r="C1283" s="20">
        <v>75</v>
      </c>
      <c r="D1283" s="21" t="s">
        <v>58</v>
      </c>
      <c r="E1283" s="21" t="s">
        <v>24</v>
      </c>
      <c r="F1283" s="20">
        <v>0.3</v>
      </c>
      <c r="G1283" s="22">
        <f>C1283*F1283</f>
        <v>22.5</v>
      </c>
    </row>
    <row r="1284" spans="1:7" ht="15" customHeight="1">
      <c r="A1284" s="19" t="s">
        <v>188</v>
      </c>
      <c r="B1284" s="20" t="s">
        <v>25</v>
      </c>
      <c r="C1284" s="20">
        <v>75</v>
      </c>
      <c r="D1284" s="21" t="s">
        <v>67</v>
      </c>
      <c r="E1284" s="21" t="s">
        <v>27</v>
      </c>
      <c r="F1284" s="20">
        <v>0.5</v>
      </c>
      <c r="G1284" s="22">
        <f>C1284*F1284</f>
        <v>37.5</v>
      </c>
    </row>
    <row r="1285" spans="1:7" ht="15" customHeight="1">
      <c r="A1285" s="19" t="s">
        <v>188</v>
      </c>
      <c r="B1285" s="20" t="s">
        <v>28</v>
      </c>
      <c r="C1285" s="20">
        <v>73</v>
      </c>
      <c r="D1285" s="21" t="s">
        <v>46</v>
      </c>
      <c r="E1285" s="21" t="s">
        <v>30</v>
      </c>
      <c r="F1285" s="20">
        <v>0.1</v>
      </c>
      <c r="G1285" s="22">
        <f>C1285*F1285</f>
        <v>7.3000000000000007</v>
      </c>
    </row>
    <row r="1286" spans="1:7" ht="15" customHeight="1">
      <c r="A1286" s="19" t="s">
        <v>188</v>
      </c>
      <c r="B1286" s="20" t="s">
        <v>31</v>
      </c>
      <c r="C1286" s="20">
        <v>71</v>
      </c>
      <c r="D1286" s="21" t="s">
        <v>46</v>
      </c>
      <c r="E1286" s="21" t="s">
        <v>30</v>
      </c>
      <c r="F1286" s="20">
        <v>0.2</v>
      </c>
      <c r="G1286" s="22">
        <f>C1286*F1286</f>
        <v>14.200000000000001</v>
      </c>
    </row>
    <row r="1287" spans="1:7" ht="15" customHeight="1">
      <c r="A1287" s="19" t="s">
        <v>188</v>
      </c>
      <c r="B1287" s="20" t="s">
        <v>33</v>
      </c>
      <c r="C1287" s="20">
        <v>69</v>
      </c>
      <c r="D1287" s="21" t="s">
        <v>47</v>
      </c>
      <c r="E1287" s="21" t="s">
        <v>35</v>
      </c>
      <c r="F1287" s="20">
        <v>0.35</v>
      </c>
      <c r="G1287" s="22">
        <f>C1287*F1287</f>
        <v>24.15</v>
      </c>
    </row>
    <row r="1288" spans="1:7" ht="15" customHeight="1">
      <c r="A1288" s="19" t="s">
        <v>188</v>
      </c>
      <c r="B1288" s="20" t="s">
        <v>36</v>
      </c>
      <c r="C1288" s="20">
        <v>75</v>
      </c>
      <c r="D1288" s="21" t="s">
        <v>59</v>
      </c>
      <c r="E1288" s="21" t="s">
        <v>38</v>
      </c>
      <c r="F1288" s="20">
        <v>0.35</v>
      </c>
      <c r="G1288" s="22">
        <f>C1288*F1288</f>
        <v>26.25</v>
      </c>
    </row>
    <row r="1289" spans="1:7" ht="15" customHeight="1">
      <c r="A1289" s="19" t="s">
        <v>189</v>
      </c>
      <c r="B1289" s="20" t="s">
        <v>8</v>
      </c>
      <c r="C1289" s="20">
        <v>50</v>
      </c>
      <c r="D1289" s="21" t="s">
        <v>9</v>
      </c>
      <c r="E1289" s="21" t="s">
        <v>10</v>
      </c>
      <c r="F1289" s="20">
        <v>0.15</v>
      </c>
      <c r="G1289" s="22">
        <f>C1289*F1289</f>
        <v>7.5</v>
      </c>
    </row>
    <row r="1290" spans="1:7" ht="15" customHeight="1">
      <c r="A1290" s="19" t="s">
        <v>189</v>
      </c>
      <c r="B1290" s="20" t="s">
        <v>11</v>
      </c>
      <c r="C1290" s="20">
        <v>55</v>
      </c>
      <c r="D1290" s="21" t="s">
        <v>15</v>
      </c>
      <c r="E1290" s="21" t="s">
        <v>13</v>
      </c>
      <c r="F1290" s="20">
        <v>0.2</v>
      </c>
      <c r="G1290" s="22">
        <f>C1290*F1290</f>
        <v>11</v>
      </c>
    </row>
    <row r="1291" spans="1:7" ht="15" customHeight="1">
      <c r="A1291" s="19" t="s">
        <v>189</v>
      </c>
      <c r="B1291" s="20" t="s">
        <v>14</v>
      </c>
      <c r="C1291" s="20">
        <v>54</v>
      </c>
      <c r="D1291" s="21" t="s">
        <v>15</v>
      </c>
      <c r="E1291" s="21" t="s">
        <v>13</v>
      </c>
      <c r="F1291" s="20">
        <v>0.25</v>
      </c>
      <c r="G1291" s="22">
        <f>C1291*F1291</f>
        <v>13.5</v>
      </c>
    </row>
    <row r="1292" spans="1:7" ht="15" customHeight="1">
      <c r="A1292" s="19" t="s">
        <v>189</v>
      </c>
      <c r="B1292" s="20" t="s">
        <v>16</v>
      </c>
      <c r="C1292" s="20">
        <v>52</v>
      </c>
      <c r="D1292" s="21" t="s">
        <v>17</v>
      </c>
      <c r="E1292" s="21" t="s">
        <v>18</v>
      </c>
      <c r="F1292" s="20">
        <v>0.4</v>
      </c>
      <c r="G1292" s="22">
        <f>C1292*F1292</f>
        <v>20.8</v>
      </c>
    </row>
    <row r="1293" spans="1:7" ht="15" customHeight="1">
      <c r="A1293" s="19" t="s">
        <v>189</v>
      </c>
      <c r="B1293" s="20" t="s">
        <v>19</v>
      </c>
      <c r="C1293" s="20">
        <v>61</v>
      </c>
      <c r="D1293" s="21" t="s">
        <v>20</v>
      </c>
      <c r="E1293" s="21" t="s">
        <v>21</v>
      </c>
      <c r="F1293" s="20">
        <v>0.2</v>
      </c>
      <c r="G1293" s="22">
        <f>C1293*F1293</f>
        <v>12.200000000000001</v>
      </c>
    </row>
    <row r="1294" spans="1:7" ht="15" customHeight="1">
      <c r="A1294" s="19" t="s">
        <v>189</v>
      </c>
      <c r="B1294" s="20" t="s">
        <v>22</v>
      </c>
      <c r="C1294" s="20">
        <v>56</v>
      </c>
      <c r="D1294" s="21" t="s">
        <v>23</v>
      </c>
      <c r="E1294" s="21" t="s">
        <v>24</v>
      </c>
      <c r="F1294" s="20">
        <v>0.3</v>
      </c>
      <c r="G1294" s="22">
        <f>C1294*F1294</f>
        <v>16.8</v>
      </c>
    </row>
    <row r="1295" spans="1:7" ht="15" customHeight="1">
      <c r="A1295" s="19" t="s">
        <v>189</v>
      </c>
      <c r="B1295" s="20" t="s">
        <v>25</v>
      </c>
      <c r="C1295" s="20">
        <v>59</v>
      </c>
      <c r="D1295" s="21" t="s">
        <v>50</v>
      </c>
      <c r="E1295" s="21" t="s">
        <v>27</v>
      </c>
      <c r="F1295" s="20">
        <v>0.5</v>
      </c>
      <c r="G1295" s="22">
        <f>C1295*F1295</f>
        <v>29.5</v>
      </c>
    </row>
    <row r="1296" spans="1:7" ht="15" customHeight="1">
      <c r="A1296" s="19" t="s">
        <v>189</v>
      </c>
      <c r="B1296" s="20" t="s">
        <v>28</v>
      </c>
      <c r="C1296" s="20">
        <v>56</v>
      </c>
      <c r="D1296" s="21" t="s">
        <v>29</v>
      </c>
      <c r="E1296" s="21" t="s">
        <v>30</v>
      </c>
      <c r="F1296" s="20">
        <v>0.1</v>
      </c>
      <c r="G1296" s="22">
        <f>C1296*F1296</f>
        <v>5.6000000000000005</v>
      </c>
    </row>
    <row r="1297" spans="1:7" ht="15" customHeight="1">
      <c r="A1297" s="19" t="s">
        <v>189</v>
      </c>
      <c r="B1297" s="20" t="s">
        <v>31</v>
      </c>
      <c r="C1297" s="20">
        <v>54</v>
      </c>
      <c r="D1297" s="21" t="s">
        <v>29</v>
      </c>
      <c r="E1297" s="21" t="s">
        <v>30</v>
      </c>
      <c r="F1297" s="20">
        <v>0.2</v>
      </c>
      <c r="G1297" s="22">
        <f>C1297*F1297</f>
        <v>10.8</v>
      </c>
    </row>
    <row r="1298" spans="1:7" ht="15" customHeight="1">
      <c r="A1298" s="19" t="s">
        <v>189</v>
      </c>
      <c r="B1298" s="20" t="s">
        <v>33</v>
      </c>
      <c r="C1298" s="20">
        <v>52</v>
      </c>
      <c r="D1298" s="21" t="s">
        <v>34</v>
      </c>
      <c r="E1298" s="21" t="s">
        <v>35</v>
      </c>
      <c r="F1298" s="20">
        <v>0.35</v>
      </c>
      <c r="G1298" s="22">
        <f>C1298*F1298</f>
        <v>18.2</v>
      </c>
    </row>
    <row r="1299" spans="1:7" ht="15" customHeight="1">
      <c r="A1299" s="19" t="s">
        <v>189</v>
      </c>
      <c r="B1299" s="20" t="s">
        <v>36</v>
      </c>
      <c r="C1299" s="20">
        <v>55</v>
      </c>
      <c r="D1299" s="21" t="s">
        <v>48</v>
      </c>
      <c r="E1299" s="21" t="s">
        <v>38</v>
      </c>
      <c r="F1299" s="20">
        <v>0.35</v>
      </c>
      <c r="G1299" s="22">
        <f>C1299*F1299</f>
        <v>19.25</v>
      </c>
    </row>
    <row r="1300" spans="1:7" ht="15" customHeight="1">
      <c r="A1300" s="19" t="s">
        <v>190</v>
      </c>
      <c r="B1300" s="20" t="s">
        <v>8</v>
      </c>
      <c r="C1300" s="20">
        <v>91</v>
      </c>
      <c r="D1300" s="21" t="s">
        <v>74</v>
      </c>
      <c r="E1300" s="21" t="s">
        <v>10</v>
      </c>
      <c r="F1300" s="20">
        <v>0.15</v>
      </c>
      <c r="G1300" s="22">
        <f>C1300*F1300</f>
        <v>13.65</v>
      </c>
    </row>
    <row r="1301" spans="1:7" ht="15" customHeight="1">
      <c r="A1301" s="19" t="s">
        <v>190</v>
      </c>
      <c r="B1301" s="20" t="s">
        <v>11</v>
      </c>
      <c r="C1301" s="20">
        <v>93</v>
      </c>
      <c r="D1301" s="21" t="s">
        <v>75</v>
      </c>
      <c r="E1301" s="21" t="s">
        <v>13</v>
      </c>
      <c r="F1301" s="20">
        <v>0.2</v>
      </c>
      <c r="G1301" s="22">
        <f>C1301*F1301</f>
        <v>18.600000000000001</v>
      </c>
    </row>
    <row r="1302" spans="1:7" ht="15" customHeight="1">
      <c r="A1302" s="19" t="s">
        <v>190</v>
      </c>
      <c r="B1302" s="20" t="s">
        <v>14</v>
      </c>
      <c r="C1302" s="20">
        <v>90</v>
      </c>
      <c r="D1302" s="21" t="s">
        <v>75</v>
      </c>
      <c r="E1302" s="21" t="s">
        <v>13</v>
      </c>
      <c r="F1302" s="20">
        <v>0.25</v>
      </c>
      <c r="G1302" s="22">
        <f>C1302*F1302</f>
        <v>22.5</v>
      </c>
    </row>
    <row r="1303" spans="1:7" ht="15" customHeight="1">
      <c r="A1303" s="19" t="s">
        <v>190</v>
      </c>
      <c r="B1303" s="20" t="s">
        <v>16</v>
      </c>
      <c r="C1303" s="20">
        <v>94</v>
      </c>
      <c r="D1303" s="21" t="s">
        <v>76</v>
      </c>
      <c r="E1303" s="21" t="s">
        <v>18</v>
      </c>
      <c r="F1303" s="20">
        <v>0.4</v>
      </c>
      <c r="G1303" s="22">
        <f>C1303*F1303</f>
        <v>37.6</v>
      </c>
    </row>
    <row r="1304" spans="1:7" ht="15" customHeight="1">
      <c r="A1304" s="19" t="s">
        <v>190</v>
      </c>
      <c r="B1304" s="20" t="s">
        <v>19</v>
      </c>
      <c r="C1304" s="20">
        <v>87</v>
      </c>
      <c r="D1304" s="21" t="s">
        <v>88</v>
      </c>
      <c r="E1304" s="21" t="s">
        <v>21</v>
      </c>
      <c r="F1304" s="20">
        <v>0.2</v>
      </c>
      <c r="G1304" s="22">
        <f>C1304*F1304</f>
        <v>17.400000000000002</v>
      </c>
    </row>
    <row r="1305" spans="1:7" ht="15" customHeight="1">
      <c r="A1305" s="19" t="s">
        <v>190</v>
      </c>
      <c r="B1305" s="20" t="s">
        <v>22</v>
      </c>
      <c r="C1305" s="20">
        <v>88</v>
      </c>
      <c r="D1305" s="21" t="s">
        <v>97</v>
      </c>
      <c r="E1305" s="21" t="s">
        <v>24</v>
      </c>
      <c r="F1305" s="20">
        <v>0.3</v>
      </c>
      <c r="G1305" s="22">
        <f>C1305*F1305</f>
        <v>26.4</v>
      </c>
    </row>
    <row r="1306" spans="1:7" ht="15" customHeight="1">
      <c r="A1306" s="19" t="s">
        <v>190</v>
      </c>
      <c r="B1306" s="20" t="s">
        <v>25</v>
      </c>
      <c r="C1306" s="20">
        <v>89</v>
      </c>
      <c r="D1306" s="21" t="s">
        <v>89</v>
      </c>
      <c r="E1306" s="21" t="s">
        <v>27</v>
      </c>
      <c r="F1306" s="20">
        <v>0.5</v>
      </c>
      <c r="G1306" s="22">
        <f>C1306*F1306</f>
        <v>44.5</v>
      </c>
    </row>
    <row r="1307" spans="1:7" ht="15" customHeight="1">
      <c r="A1307" s="19" t="s">
        <v>190</v>
      </c>
      <c r="B1307" s="20" t="s">
        <v>28</v>
      </c>
      <c r="C1307" s="20">
        <v>91</v>
      </c>
      <c r="D1307" s="21" t="s">
        <v>90</v>
      </c>
      <c r="E1307" s="21" t="s">
        <v>30</v>
      </c>
      <c r="F1307" s="20">
        <v>0.1</v>
      </c>
      <c r="G1307" s="22">
        <f>C1307*F1307</f>
        <v>9.1</v>
      </c>
    </row>
    <row r="1308" spans="1:7" ht="15" customHeight="1">
      <c r="A1308" s="19" t="s">
        <v>190</v>
      </c>
      <c r="B1308" s="20" t="s">
        <v>31</v>
      </c>
      <c r="C1308" s="20">
        <v>93</v>
      </c>
      <c r="D1308" s="21" t="s">
        <v>90</v>
      </c>
      <c r="E1308" s="21" t="s">
        <v>30</v>
      </c>
      <c r="F1308" s="20">
        <v>0.2</v>
      </c>
      <c r="G1308" s="22">
        <f>C1308*F1308</f>
        <v>18.600000000000001</v>
      </c>
    </row>
    <row r="1309" spans="1:7" ht="15" customHeight="1">
      <c r="A1309" s="19" t="s">
        <v>190</v>
      </c>
      <c r="B1309" s="20" t="s">
        <v>33</v>
      </c>
      <c r="C1309" s="20">
        <v>93</v>
      </c>
      <c r="D1309" s="21" t="s">
        <v>98</v>
      </c>
      <c r="E1309" s="21" t="s">
        <v>35</v>
      </c>
      <c r="F1309" s="20">
        <v>0.35</v>
      </c>
      <c r="G1309" s="22">
        <f>C1309*F1309</f>
        <v>32.549999999999997</v>
      </c>
    </row>
    <row r="1310" spans="1:7" ht="15" customHeight="1">
      <c r="A1310" s="19" t="s">
        <v>190</v>
      </c>
      <c r="B1310" s="20" t="s">
        <v>36</v>
      </c>
      <c r="C1310" s="20">
        <v>89</v>
      </c>
      <c r="D1310" s="21" t="s">
        <v>111</v>
      </c>
      <c r="E1310" s="21" t="s">
        <v>38</v>
      </c>
      <c r="F1310" s="20">
        <v>0.35</v>
      </c>
      <c r="G1310" s="22">
        <f>C1310*F1310</f>
        <v>31.15</v>
      </c>
    </row>
    <row r="1311" spans="1:7" ht="15" customHeight="1">
      <c r="A1311" s="19" t="s">
        <v>191</v>
      </c>
      <c r="B1311" s="20" t="s">
        <v>8</v>
      </c>
      <c r="C1311" s="20">
        <v>89</v>
      </c>
      <c r="D1311" s="21" t="s">
        <v>74</v>
      </c>
      <c r="E1311" s="21" t="s">
        <v>10</v>
      </c>
      <c r="F1311" s="20">
        <v>0.15</v>
      </c>
      <c r="G1311" s="22">
        <f>C1311*F1311</f>
        <v>13.35</v>
      </c>
    </row>
    <row r="1312" spans="1:7" ht="15" customHeight="1">
      <c r="A1312" s="19" t="s">
        <v>191</v>
      </c>
      <c r="B1312" s="20" t="s">
        <v>11</v>
      </c>
      <c r="C1312" s="20">
        <v>85</v>
      </c>
      <c r="D1312" s="21" t="s">
        <v>75</v>
      </c>
      <c r="E1312" s="21" t="s">
        <v>13</v>
      </c>
      <c r="F1312" s="20">
        <v>0.2</v>
      </c>
      <c r="G1312" s="22">
        <f>C1312*F1312</f>
        <v>17</v>
      </c>
    </row>
    <row r="1313" spans="1:7" ht="15" customHeight="1">
      <c r="A1313" s="19" t="s">
        <v>191</v>
      </c>
      <c r="B1313" s="20" t="s">
        <v>14</v>
      </c>
      <c r="C1313" s="20">
        <v>86</v>
      </c>
      <c r="D1313" s="21" t="s">
        <v>75</v>
      </c>
      <c r="E1313" s="21" t="s">
        <v>13</v>
      </c>
      <c r="F1313" s="20">
        <v>0.25</v>
      </c>
      <c r="G1313" s="22">
        <f>C1313*F1313</f>
        <v>21.5</v>
      </c>
    </row>
    <row r="1314" spans="1:7" ht="15" customHeight="1">
      <c r="A1314" s="19" t="s">
        <v>191</v>
      </c>
      <c r="B1314" s="20" t="s">
        <v>16</v>
      </c>
      <c r="C1314" s="20">
        <v>88</v>
      </c>
      <c r="D1314" s="21" t="s">
        <v>76</v>
      </c>
      <c r="E1314" s="21" t="s">
        <v>18</v>
      </c>
      <c r="F1314" s="20">
        <v>0.4</v>
      </c>
      <c r="G1314" s="22">
        <f>C1314*F1314</f>
        <v>35.200000000000003</v>
      </c>
    </row>
    <row r="1315" spans="1:7" ht="15" customHeight="1">
      <c r="A1315" s="19" t="s">
        <v>191</v>
      </c>
      <c r="B1315" s="20" t="s">
        <v>19</v>
      </c>
      <c r="C1315" s="20">
        <v>90</v>
      </c>
      <c r="D1315" s="21" t="s">
        <v>88</v>
      </c>
      <c r="E1315" s="21" t="s">
        <v>21</v>
      </c>
      <c r="F1315" s="20">
        <v>0.2</v>
      </c>
      <c r="G1315" s="22">
        <f>C1315*F1315</f>
        <v>18</v>
      </c>
    </row>
    <row r="1316" spans="1:7" ht="15" customHeight="1">
      <c r="A1316" s="19" t="s">
        <v>191</v>
      </c>
      <c r="B1316" s="20" t="s">
        <v>22</v>
      </c>
      <c r="C1316" s="20">
        <v>91</v>
      </c>
      <c r="D1316" s="21" t="s">
        <v>97</v>
      </c>
      <c r="E1316" s="21" t="s">
        <v>24</v>
      </c>
      <c r="F1316" s="20">
        <v>0.3</v>
      </c>
      <c r="G1316" s="22">
        <f>C1316*F1316</f>
        <v>27.3</v>
      </c>
    </row>
    <row r="1317" spans="1:7" ht="15" customHeight="1">
      <c r="A1317" s="19" t="s">
        <v>191</v>
      </c>
      <c r="B1317" s="20" t="s">
        <v>25</v>
      </c>
      <c r="C1317" s="20">
        <v>87</v>
      </c>
      <c r="D1317" s="21" t="s">
        <v>89</v>
      </c>
      <c r="E1317" s="21" t="s">
        <v>27</v>
      </c>
      <c r="F1317" s="20">
        <v>0.5</v>
      </c>
      <c r="G1317" s="22">
        <f>C1317*F1317</f>
        <v>43.5</v>
      </c>
    </row>
    <row r="1318" spans="1:7" ht="15" customHeight="1">
      <c r="A1318" s="19" t="s">
        <v>191</v>
      </c>
      <c r="B1318" s="20" t="s">
        <v>28</v>
      </c>
      <c r="C1318" s="20">
        <v>94</v>
      </c>
      <c r="D1318" s="21" t="s">
        <v>90</v>
      </c>
      <c r="E1318" s="21" t="s">
        <v>30</v>
      </c>
      <c r="F1318" s="20">
        <v>0.1</v>
      </c>
      <c r="G1318" s="22">
        <f>C1318*F1318</f>
        <v>9.4</v>
      </c>
    </row>
    <row r="1319" spans="1:7" ht="15" customHeight="1">
      <c r="A1319" s="19" t="s">
        <v>191</v>
      </c>
      <c r="B1319" s="20" t="s">
        <v>31</v>
      </c>
      <c r="C1319" s="20">
        <v>88</v>
      </c>
      <c r="D1319" s="21" t="s">
        <v>90</v>
      </c>
      <c r="E1319" s="21" t="s">
        <v>30</v>
      </c>
      <c r="F1319" s="20">
        <v>0.2</v>
      </c>
      <c r="G1319" s="22">
        <f>C1319*F1319</f>
        <v>17.600000000000001</v>
      </c>
    </row>
    <row r="1320" spans="1:7" ht="15" customHeight="1">
      <c r="A1320" s="19" t="s">
        <v>191</v>
      </c>
      <c r="B1320" s="20" t="s">
        <v>33</v>
      </c>
      <c r="C1320" s="20">
        <v>89</v>
      </c>
      <c r="D1320" s="21" t="s">
        <v>98</v>
      </c>
      <c r="E1320" s="21" t="s">
        <v>35</v>
      </c>
      <c r="F1320" s="20">
        <v>0.35</v>
      </c>
      <c r="G1320" s="22">
        <f>C1320*F1320</f>
        <v>31.15</v>
      </c>
    </row>
    <row r="1321" spans="1:7" ht="15" customHeight="1">
      <c r="A1321" s="19" t="s">
        <v>191</v>
      </c>
      <c r="B1321" s="20" t="s">
        <v>36</v>
      </c>
      <c r="C1321" s="20">
        <v>91</v>
      </c>
      <c r="D1321" s="21" t="s">
        <v>111</v>
      </c>
      <c r="E1321" s="21" t="s">
        <v>38</v>
      </c>
      <c r="F1321" s="20">
        <v>0.35</v>
      </c>
      <c r="G1321" s="22">
        <f>C1321*F1321</f>
        <v>31.849999999999998</v>
      </c>
    </row>
    <row r="1322" spans="1:7" ht="15" customHeight="1">
      <c r="A1322" s="19" t="s">
        <v>192</v>
      </c>
      <c r="B1322" s="20" t="s">
        <v>8</v>
      </c>
      <c r="C1322" s="20">
        <v>60</v>
      </c>
      <c r="D1322" s="21" t="s">
        <v>9</v>
      </c>
      <c r="E1322" s="21" t="s">
        <v>10</v>
      </c>
      <c r="F1322" s="20">
        <v>0.15</v>
      </c>
      <c r="G1322" s="22">
        <f>C1322*F1322</f>
        <v>9</v>
      </c>
    </row>
    <row r="1323" spans="1:7" ht="15" customHeight="1">
      <c r="A1323" s="19" t="s">
        <v>192</v>
      </c>
      <c r="B1323" s="20" t="s">
        <v>11</v>
      </c>
      <c r="C1323" s="20">
        <v>66</v>
      </c>
      <c r="D1323" s="21" t="s">
        <v>41</v>
      </c>
      <c r="E1323" s="21" t="s">
        <v>13</v>
      </c>
      <c r="F1323" s="20">
        <v>0.2</v>
      </c>
      <c r="G1323" s="22">
        <f>C1323*F1323</f>
        <v>13.200000000000001</v>
      </c>
    </row>
    <row r="1324" spans="1:7" ht="15" customHeight="1">
      <c r="A1324" s="19" t="s">
        <v>192</v>
      </c>
      <c r="B1324" s="20" t="s">
        <v>14</v>
      </c>
      <c r="C1324" s="20">
        <v>65</v>
      </c>
      <c r="D1324" s="21" t="s">
        <v>41</v>
      </c>
      <c r="E1324" s="21" t="s">
        <v>13</v>
      </c>
      <c r="F1324" s="20">
        <v>0.25</v>
      </c>
      <c r="G1324" s="22">
        <f>C1324*F1324</f>
        <v>16.25</v>
      </c>
    </row>
    <row r="1325" spans="1:7" ht="15" customHeight="1">
      <c r="A1325" s="19" t="s">
        <v>192</v>
      </c>
      <c r="B1325" s="20" t="s">
        <v>16</v>
      </c>
      <c r="C1325" s="20">
        <v>63</v>
      </c>
      <c r="D1325" s="21" t="s">
        <v>17</v>
      </c>
      <c r="E1325" s="21" t="s">
        <v>18</v>
      </c>
      <c r="F1325" s="20">
        <v>0.4</v>
      </c>
      <c r="G1325" s="22">
        <f>C1325*F1325</f>
        <v>25.200000000000003</v>
      </c>
    </row>
    <row r="1326" spans="1:7" ht="15" customHeight="1">
      <c r="A1326" s="19" t="s">
        <v>192</v>
      </c>
      <c r="B1326" s="20" t="s">
        <v>19</v>
      </c>
      <c r="C1326" s="20">
        <v>68</v>
      </c>
      <c r="D1326" s="21" t="s">
        <v>43</v>
      </c>
      <c r="E1326" s="21" t="s">
        <v>21</v>
      </c>
      <c r="F1326" s="20">
        <v>0.2</v>
      </c>
      <c r="G1326" s="22">
        <f>C1326*F1326</f>
        <v>13.600000000000001</v>
      </c>
    </row>
    <row r="1327" spans="1:7" ht="15" customHeight="1">
      <c r="A1327" s="19" t="s">
        <v>192</v>
      </c>
      <c r="B1327" s="20" t="s">
        <v>22</v>
      </c>
      <c r="C1327" s="20">
        <v>65</v>
      </c>
      <c r="D1327" s="21" t="s">
        <v>44</v>
      </c>
      <c r="E1327" s="21" t="s">
        <v>24</v>
      </c>
      <c r="F1327" s="20">
        <v>0.3</v>
      </c>
      <c r="G1327" s="22">
        <f>C1327*F1327</f>
        <v>19.5</v>
      </c>
    </row>
    <row r="1328" spans="1:7" ht="15" customHeight="1">
      <c r="A1328" s="19" t="s">
        <v>192</v>
      </c>
      <c r="B1328" s="20" t="s">
        <v>25</v>
      </c>
      <c r="C1328" s="20">
        <v>65</v>
      </c>
      <c r="D1328" s="21" t="s">
        <v>45</v>
      </c>
      <c r="E1328" s="21" t="s">
        <v>27</v>
      </c>
      <c r="F1328" s="20">
        <v>0.5</v>
      </c>
      <c r="G1328" s="22">
        <f>C1328*F1328</f>
        <v>32.5</v>
      </c>
    </row>
    <row r="1329" spans="1:7" ht="15" customHeight="1">
      <c r="A1329" s="19" t="s">
        <v>192</v>
      </c>
      <c r="B1329" s="20" t="s">
        <v>28</v>
      </c>
      <c r="C1329" s="20">
        <v>69</v>
      </c>
      <c r="D1329" s="21" t="s">
        <v>46</v>
      </c>
      <c r="E1329" s="21" t="s">
        <v>30</v>
      </c>
      <c r="F1329" s="20">
        <v>0.1</v>
      </c>
      <c r="G1329" s="22">
        <f>C1329*F1329</f>
        <v>6.9</v>
      </c>
    </row>
    <row r="1330" spans="1:7" ht="15" customHeight="1">
      <c r="A1330" s="19" t="s">
        <v>192</v>
      </c>
      <c r="B1330" s="20" t="s">
        <v>31</v>
      </c>
      <c r="C1330" s="20">
        <v>67</v>
      </c>
      <c r="D1330" s="21" t="s">
        <v>46</v>
      </c>
      <c r="E1330" s="21" t="s">
        <v>30</v>
      </c>
      <c r="F1330" s="20">
        <v>0.2</v>
      </c>
      <c r="G1330" s="22">
        <f>C1330*F1330</f>
        <v>13.4</v>
      </c>
    </row>
    <row r="1331" spans="1:7" ht="15" customHeight="1">
      <c r="A1331" s="19" t="s">
        <v>192</v>
      </c>
      <c r="B1331" s="20" t="s">
        <v>33</v>
      </c>
      <c r="C1331" s="20">
        <v>67</v>
      </c>
      <c r="D1331" s="21" t="s">
        <v>47</v>
      </c>
      <c r="E1331" s="21" t="s">
        <v>35</v>
      </c>
      <c r="F1331" s="20">
        <v>0.35</v>
      </c>
      <c r="G1331" s="22">
        <f>C1331*F1331</f>
        <v>23.45</v>
      </c>
    </row>
    <row r="1332" spans="1:7" ht="15" customHeight="1">
      <c r="A1332" s="19" t="s">
        <v>192</v>
      </c>
      <c r="B1332" s="20" t="s">
        <v>36</v>
      </c>
      <c r="C1332" s="20">
        <v>63</v>
      </c>
      <c r="D1332" s="21" t="s">
        <v>48</v>
      </c>
      <c r="E1332" s="21" t="s">
        <v>38</v>
      </c>
      <c r="F1332" s="20">
        <v>0.35</v>
      </c>
      <c r="G1332" s="22">
        <f>C1332*F1332</f>
        <v>22.049999999999997</v>
      </c>
    </row>
    <row r="1333" spans="1:7" ht="15" customHeight="1">
      <c r="A1333" s="19" t="s">
        <v>193</v>
      </c>
      <c r="B1333" s="20" t="s">
        <v>8</v>
      </c>
      <c r="C1333" s="20">
        <v>73</v>
      </c>
      <c r="D1333" s="21" t="s">
        <v>40</v>
      </c>
      <c r="E1333" s="21" t="s">
        <v>10</v>
      </c>
      <c r="F1333" s="20">
        <v>0.15</v>
      </c>
      <c r="G1333" s="22">
        <f>C1333*F1333</f>
        <v>10.95</v>
      </c>
    </row>
    <row r="1334" spans="1:7" ht="15" customHeight="1">
      <c r="A1334" s="19" t="s">
        <v>193</v>
      </c>
      <c r="B1334" s="20" t="s">
        <v>11</v>
      </c>
      <c r="C1334" s="20">
        <v>70</v>
      </c>
      <c r="D1334" s="21" t="s">
        <v>41</v>
      </c>
      <c r="E1334" s="21" t="s">
        <v>13</v>
      </c>
      <c r="F1334" s="20">
        <v>0.2</v>
      </c>
      <c r="G1334" s="22">
        <f>C1334*F1334</f>
        <v>14</v>
      </c>
    </row>
    <row r="1335" spans="1:7" ht="15" customHeight="1">
      <c r="A1335" s="19" t="s">
        <v>193</v>
      </c>
      <c r="B1335" s="20" t="s">
        <v>14</v>
      </c>
      <c r="C1335" s="20">
        <v>68</v>
      </c>
      <c r="D1335" s="21" t="s">
        <v>41</v>
      </c>
      <c r="E1335" s="21" t="s">
        <v>13</v>
      </c>
      <c r="F1335" s="20">
        <v>0.25</v>
      </c>
      <c r="G1335" s="22">
        <f>C1335*F1335</f>
        <v>17</v>
      </c>
    </row>
    <row r="1336" spans="1:7" ht="15" customHeight="1">
      <c r="A1336" s="19" t="s">
        <v>193</v>
      </c>
      <c r="B1336" s="20" t="s">
        <v>16</v>
      </c>
      <c r="C1336" s="20">
        <v>71</v>
      </c>
      <c r="D1336" s="21" t="s">
        <v>42</v>
      </c>
      <c r="E1336" s="21" t="s">
        <v>18</v>
      </c>
      <c r="F1336" s="20">
        <v>0.4</v>
      </c>
      <c r="G1336" s="22">
        <f>C1336*F1336</f>
        <v>28.400000000000002</v>
      </c>
    </row>
    <row r="1337" spans="1:7" ht="15" customHeight="1">
      <c r="A1337" s="19" t="s">
        <v>193</v>
      </c>
      <c r="B1337" s="20" t="s">
        <v>19</v>
      </c>
      <c r="C1337" s="20">
        <v>65</v>
      </c>
      <c r="D1337" s="21" t="s">
        <v>43</v>
      </c>
      <c r="E1337" s="21" t="s">
        <v>21</v>
      </c>
      <c r="F1337" s="20">
        <v>0.2</v>
      </c>
      <c r="G1337" s="22">
        <f>C1337*F1337</f>
        <v>13</v>
      </c>
    </row>
    <row r="1338" spans="1:7" ht="15" customHeight="1">
      <c r="A1338" s="19" t="s">
        <v>193</v>
      </c>
      <c r="B1338" s="20" t="s">
        <v>22</v>
      </c>
      <c r="C1338" s="20">
        <v>70</v>
      </c>
      <c r="D1338" s="21" t="s">
        <v>44</v>
      </c>
      <c r="E1338" s="21" t="s">
        <v>24</v>
      </c>
      <c r="F1338" s="20">
        <v>0.3</v>
      </c>
      <c r="G1338" s="22">
        <f>C1338*F1338</f>
        <v>21</v>
      </c>
    </row>
    <row r="1339" spans="1:7" ht="15" customHeight="1">
      <c r="A1339" s="19" t="s">
        <v>193</v>
      </c>
      <c r="B1339" s="20" t="s">
        <v>25</v>
      </c>
      <c r="C1339" s="20">
        <v>69</v>
      </c>
      <c r="D1339" s="21" t="s">
        <v>45</v>
      </c>
      <c r="E1339" s="21" t="s">
        <v>27</v>
      </c>
      <c r="F1339" s="20">
        <v>0.5</v>
      </c>
      <c r="G1339" s="22">
        <f>C1339*F1339</f>
        <v>34.5</v>
      </c>
    </row>
    <row r="1340" spans="1:7" ht="15" customHeight="1">
      <c r="A1340" s="19" t="s">
        <v>193</v>
      </c>
      <c r="B1340" s="20" t="s">
        <v>28</v>
      </c>
      <c r="C1340" s="20">
        <v>68</v>
      </c>
      <c r="D1340" s="21" t="s">
        <v>46</v>
      </c>
      <c r="E1340" s="21" t="s">
        <v>30</v>
      </c>
      <c r="F1340" s="20">
        <v>0.1</v>
      </c>
      <c r="G1340" s="22">
        <f>C1340*F1340</f>
        <v>6.8000000000000007</v>
      </c>
    </row>
    <row r="1341" spans="1:7" ht="15" customHeight="1">
      <c r="A1341" s="19" t="s">
        <v>193</v>
      </c>
      <c r="B1341" s="20" t="s">
        <v>31</v>
      </c>
      <c r="C1341" s="20">
        <v>74</v>
      </c>
      <c r="D1341" s="21" t="s">
        <v>46</v>
      </c>
      <c r="E1341" s="21" t="s">
        <v>30</v>
      </c>
      <c r="F1341" s="20">
        <v>0.2</v>
      </c>
      <c r="G1341" s="22">
        <f>C1341*F1341</f>
        <v>14.8</v>
      </c>
    </row>
    <row r="1342" spans="1:7" ht="15" customHeight="1">
      <c r="A1342" s="19" t="s">
        <v>193</v>
      </c>
      <c r="B1342" s="20" t="s">
        <v>33</v>
      </c>
      <c r="C1342" s="20">
        <v>69</v>
      </c>
      <c r="D1342" s="21" t="s">
        <v>47</v>
      </c>
      <c r="E1342" s="21" t="s">
        <v>35</v>
      </c>
      <c r="F1342" s="20">
        <v>0.35</v>
      </c>
      <c r="G1342" s="22">
        <f>C1342*F1342</f>
        <v>24.15</v>
      </c>
    </row>
    <row r="1343" spans="1:7" ht="15" customHeight="1">
      <c r="A1343" s="19" t="s">
        <v>193</v>
      </c>
      <c r="B1343" s="20" t="s">
        <v>36</v>
      </c>
      <c r="C1343" s="20">
        <v>68</v>
      </c>
      <c r="D1343" s="21" t="s">
        <v>51</v>
      </c>
      <c r="E1343" s="21" t="s">
        <v>38</v>
      </c>
      <c r="F1343" s="20">
        <v>0.35</v>
      </c>
      <c r="G1343" s="22">
        <f>C1343*F1343</f>
        <v>23.799999999999997</v>
      </c>
    </row>
    <row r="1344" spans="1:7" ht="15" customHeight="1">
      <c r="A1344" s="19" t="s">
        <v>194</v>
      </c>
      <c r="B1344" s="20" t="s">
        <v>8</v>
      </c>
      <c r="C1344" s="20">
        <v>66</v>
      </c>
      <c r="D1344" s="21" t="s">
        <v>40</v>
      </c>
      <c r="E1344" s="21" t="s">
        <v>10</v>
      </c>
      <c r="F1344" s="20">
        <v>0.15</v>
      </c>
      <c r="G1344" s="22">
        <f>C1344*F1344</f>
        <v>9.9</v>
      </c>
    </row>
    <row r="1345" spans="1:7" ht="15" customHeight="1">
      <c r="A1345" s="19" t="s">
        <v>194</v>
      </c>
      <c r="B1345" s="20" t="s">
        <v>11</v>
      </c>
      <c r="C1345" s="20">
        <v>63</v>
      </c>
      <c r="D1345" s="21" t="s">
        <v>15</v>
      </c>
      <c r="E1345" s="21" t="s">
        <v>13</v>
      </c>
      <c r="F1345" s="20">
        <v>0.2</v>
      </c>
      <c r="G1345" s="22">
        <f>C1345*F1345</f>
        <v>12.600000000000001</v>
      </c>
    </row>
    <row r="1346" spans="1:7" ht="15" customHeight="1">
      <c r="A1346" s="19" t="s">
        <v>194</v>
      </c>
      <c r="B1346" s="20" t="s">
        <v>14</v>
      </c>
      <c r="C1346" s="20">
        <v>67</v>
      </c>
      <c r="D1346" s="21" t="s">
        <v>41</v>
      </c>
      <c r="E1346" s="21" t="s">
        <v>13</v>
      </c>
      <c r="F1346" s="20">
        <v>0.25</v>
      </c>
      <c r="G1346" s="22">
        <f>C1346*F1346</f>
        <v>16.75</v>
      </c>
    </row>
    <row r="1347" spans="1:7" ht="15" customHeight="1">
      <c r="A1347" s="19" t="s">
        <v>194</v>
      </c>
      <c r="B1347" s="20" t="s">
        <v>16</v>
      </c>
      <c r="C1347" s="20">
        <v>64</v>
      </c>
      <c r="D1347" s="21" t="s">
        <v>17</v>
      </c>
      <c r="E1347" s="21" t="s">
        <v>18</v>
      </c>
      <c r="F1347" s="20">
        <v>0.4</v>
      </c>
      <c r="G1347" s="22">
        <f>C1347*F1347</f>
        <v>25.6</v>
      </c>
    </row>
    <row r="1348" spans="1:7" ht="15" customHeight="1">
      <c r="A1348" s="19" t="s">
        <v>194</v>
      </c>
      <c r="B1348" s="20" t="s">
        <v>19</v>
      </c>
      <c r="C1348" s="20">
        <v>66</v>
      </c>
      <c r="D1348" s="21" t="s">
        <v>43</v>
      </c>
      <c r="E1348" s="21" t="s">
        <v>21</v>
      </c>
      <c r="F1348" s="20">
        <v>0.2</v>
      </c>
      <c r="G1348" s="22">
        <f>C1348*F1348</f>
        <v>13.200000000000001</v>
      </c>
    </row>
    <row r="1349" spans="1:7" ht="15" customHeight="1">
      <c r="A1349" s="19" t="s">
        <v>194</v>
      </c>
      <c r="B1349" s="20" t="s">
        <v>22</v>
      </c>
      <c r="C1349" s="20">
        <v>69</v>
      </c>
      <c r="D1349" s="21" t="s">
        <v>44</v>
      </c>
      <c r="E1349" s="21" t="s">
        <v>24</v>
      </c>
      <c r="F1349" s="20">
        <v>0.3</v>
      </c>
      <c r="G1349" s="22">
        <f>C1349*F1349</f>
        <v>20.7</v>
      </c>
    </row>
    <row r="1350" spans="1:7" ht="15" customHeight="1">
      <c r="A1350" s="19" t="s">
        <v>194</v>
      </c>
      <c r="B1350" s="20" t="s">
        <v>25</v>
      </c>
      <c r="C1350" s="20">
        <v>72</v>
      </c>
      <c r="D1350" s="21" t="s">
        <v>45</v>
      </c>
      <c r="E1350" s="21" t="s">
        <v>27</v>
      </c>
      <c r="F1350" s="20">
        <v>0.5</v>
      </c>
      <c r="G1350" s="22">
        <f>C1350*F1350</f>
        <v>36</v>
      </c>
    </row>
    <row r="1351" spans="1:7" ht="15" customHeight="1">
      <c r="A1351" s="19" t="s">
        <v>194</v>
      </c>
      <c r="B1351" s="20" t="s">
        <v>28</v>
      </c>
      <c r="C1351" s="20">
        <v>68</v>
      </c>
      <c r="D1351" s="21" t="s">
        <v>46</v>
      </c>
      <c r="E1351" s="21" t="s">
        <v>30</v>
      </c>
      <c r="F1351" s="20">
        <v>0.1</v>
      </c>
      <c r="G1351" s="22">
        <f>C1351*F1351</f>
        <v>6.8000000000000007</v>
      </c>
    </row>
    <row r="1352" spans="1:7" ht="15" customHeight="1">
      <c r="A1352" s="19" t="s">
        <v>194</v>
      </c>
      <c r="B1352" s="20" t="s">
        <v>31</v>
      </c>
      <c r="C1352" s="20">
        <v>71</v>
      </c>
      <c r="D1352" s="21" t="s">
        <v>46</v>
      </c>
      <c r="E1352" s="21" t="s">
        <v>30</v>
      </c>
      <c r="F1352" s="20">
        <v>0.2</v>
      </c>
      <c r="G1352" s="22">
        <f>C1352*F1352</f>
        <v>14.200000000000001</v>
      </c>
    </row>
    <row r="1353" spans="1:7" ht="15" customHeight="1">
      <c r="A1353" s="19" t="s">
        <v>194</v>
      </c>
      <c r="B1353" s="20" t="s">
        <v>33</v>
      </c>
      <c r="C1353" s="20">
        <v>72</v>
      </c>
      <c r="D1353" s="21" t="s">
        <v>47</v>
      </c>
      <c r="E1353" s="21" t="s">
        <v>35</v>
      </c>
      <c r="F1353" s="20">
        <v>0.35</v>
      </c>
      <c r="G1353" s="22">
        <f>C1353*F1353</f>
        <v>25.2</v>
      </c>
    </row>
    <row r="1354" spans="1:7" ht="15" customHeight="1">
      <c r="A1354" s="19" t="s">
        <v>194</v>
      </c>
      <c r="B1354" s="20" t="s">
        <v>36</v>
      </c>
      <c r="C1354" s="20">
        <v>73</v>
      </c>
      <c r="D1354" s="21" t="s">
        <v>51</v>
      </c>
      <c r="E1354" s="21" t="s">
        <v>38</v>
      </c>
      <c r="F1354" s="20">
        <v>0.35</v>
      </c>
      <c r="G1354" s="22">
        <f>C1354*F1354</f>
        <v>25.549999999999997</v>
      </c>
    </row>
    <row r="1355" spans="1:7" ht="15" customHeight="1">
      <c r="A1355" s="19" t="s">
        <v>195</v>
      </c>
      <c r="B1355" s="20" t="s">
        <v>8</v>
      </c>
      <c r="C1355" s="20">
        <v>62</v>
      </c>
      <c r="D1355" s="21" t="s">
        <v>9</v>
      </c>
      <c r="E1355" s="21" t="s">
        <v>10</v>
      </c>
      <c r="F1355" s="20">
        <v>0.15</v>
      </c>
      <c r="G1355" s="22">
        <f>C1355*F1355</f>
        <v>9.2999999999999989</v>
      </c>
    </row>
    <row r="1356" spans="1:7" ht="15" customHeight="1">
      <c r="A1356" s="19" t="s">
        <v>195</v>
      </c>
      <c r="B1356" s="20" t="s">
        <v>11</v>
      </c>
      <c r="C1356" s="20">
        <v>66</v>
      </c>
      <c r="D1356" s="21" t="s">
        <v>41</v>
      </c>
      <c r="E1356" s="21" t="s">
        <v>13</v>
      </c>
      <c r="F1356" s="20">
        <v>0.2</v>
      </c>
      <c r="G1356" s="22">
        <f>C1356*F1356</f>
        <v>13.200000000000001</v>
      </c>
    </row>
    <row r="1357" spans="1:7" ht="15" customHeight="1">
      <c r="A1357" s="19" t="s">
        <v>195</v>
      </c>
      <c r="B1357" s="20" t="s">
        <v>14</v>
      </c>
      <c r="C1357" s="20">
        <v>66</v>
      </c>
      <c r="D1357" s="21" t="s">
        <v>41</v>
      </c>
      <c r="E1357" s="21" t="s">
        <v>13</v>
      </c>
      <c r="F1357" s="20">
        <v>0.25</v>
      </c>
      <c r="G1357" s="22">
        <f>C1357*F1357</f>
        <v>16.5</v>
      </c>
    </row>
    <row r="1358" spans="1:7" ht="15" customHeight="1">
      <c r="A1358" s="19" t="s">
        <v>195</v>
      </c>
      <c r="B1358" s="20" t="s">
        <v>16</v>
      </c>
      <c r="C1358" s="20">
        <v>61</v>
      </c>
      <c r="D1358" s="21" t="s">
        <v>17</v>
      </c>
      <c r="E1358" s="21" t="s">
        <v>18</v>
      </c>
      <c r="F1358" s="20">
        <v>0.4</v>
      </c>
      <c r="G1358" s="22">
        <f>C1358*F1358</f>
        <v>24.400000000000002</v>
      </c>
    </row>
    <row r="1359" spans="1:7" ht="15" customHeight="1">
      <c r="A1359" s="19" t="s">
        <v>195</v>
      </c>
      <c r="B1359" s="20" t="s">
        <v>19</v>
      </c>
      <c r="C1359" s="20">
        <v>62</v>
      </c>
      <c r="D1359" s="21" t="s">
        <v>20</v>
      </c>
      <c r="E1359" s="21" t="s">
        <v>21</v>
      </c>
      <c r="F1359" s="20">
        <v>0.2</v>
      </c>
      <c r="G1359" s="22">
        <f>C1359*F1359</f>
        <v>12.4</v>
      </c>
    </row>
    <row r="1360" spans="1:7" ht="15" customHeight="1">
      <c r="A1360" s="19" t="s">
        <v>195</v>
      </c>
      <c r="B1360" s="20" t="s">
        <v>22</v>
      </c>
      <c r="C1360" s="20">
        <v>62</v>
      </c>
      <c r="D1360" s="21" t="s">
        <v>23</v>
      </c>
      <c r="E1360" s="21" t="s">
        <v>24</v>
      </c>
      <c r="F1360" s="20">
        <v>0.3</v>
      </c>
      <c r="G1360" s="22">
        <f>C1360*F1360</f>
        <v>18.599999999999998</v>
      </c>
    </row>
    <row r="1361" spans="1:7" ht="15" customHeight="1">
      <c r="A1361" s="19" t="s">
        <v>195</v>
      </c>
      <c r="B1361" s="20" t="s">
        <v>25</v>
      </c>
      <c r="C1361" s="20">
        <v>61</v>
      </c>
      <c r="D1361" s="21" t="s">
        <v>50</v>
      </c>
      <c r="E1361" s="21" t="s">
        <v>27</v>
      </c>
      <c r="F1361" s="20">
        <v>0.5</v>
      </c>
      <c r="G1361" s="22">
        <f>C1361*F1361</f>
        <v>30.5</v>
      </c>
    </row>
    <row r="1362" spans="1:7" ht="15" customHeight="1">
      <c r="A1362" s="19" t="s">
        <v>195</v>
      </c>
      <c r="B1362" s="20" t="s">
        <v>28</v>
      </c>
      <c r="C1362" s="20">
        <v>64</v>
      </c>
      <c r="D1362" s="21" t="s">
        <v>29</v>
      </c>
      <c r="E1362" s="21" t="s">
        <v>30</v>
      </c>
      <c r="F1362" s="20">
        <v>0.1</v>
      </c>
      <c r="G1362" s="22">
        <f>C1362*F1362</f>
        <v>6.4</v>
      </c>
    </row>
    <row r="1363" spans="1:7" ht="15" customHeight="1">
      <c r="A1363" s="19" t="s">
        <v>195</v>
      </c>
      <c r="B1363" s="20" t="s">
        <v>31</v>
      </c>
      <c r="C1363" s="20">
        <v>62</v>
      </c>
      <c r="D1363" s="21" t="s">
        <v>29</v>
      </c>
      <c r="E1363" s="21" t="s">
        <v>30</v>
      </c>
      <c r="F1363" s="20">
        <v>0.2</v>
      </c>
      <c r="G1363" s="22">
        <f>C1363*F1363</f>
        <v>12.4</v>
      </c>
    </row>
    <row r="1364" spans="1:7" ht="15" customHeight="1">
      <c r="A1364" s="19" t="s">
        <v>195</v>
      </c>
      <c r="B1364" s="20" t="s">
        <v>33</v>
      </c>
      <c r="C1364" s="20">
        <v>65</v>
      </c>
      <c r="D1364" s="21" t="s">
        <v>47</v>
      </c>
      <c r="E1364" s="21" t="s">
        <v>35</v>
      </c>
      <c r="F1364" s="20">
        <v>0.35</v>
      </c>
      <c r="G1364" s="22">
        <f>C1364*F1364</f>
        <v>22.75</v>
      </c>
    </row>
    <row r="1365" spans="1:7" ht="15" customHeight="1">
      <c r="A1365" s="19" t="s">
        <v>195</v>
      </c>
      <c r="B1365" s="20" t="s">
        <v>36</v>
      </c>
      <c r="C1365" s="20">
        <v>61</v>
      </c>
      <c r="D1365" s="21" t="s">
        <v>48</v>
      </c>
      <c r="E1365" s="21" t="s">
        <v>38</v>
      </c>
      <c r="F1365" s="20">
        <v>0.35</v>
      </c>
      <c r="G1365" s="22">
        <f>C1365*F1365</f>
        <v>21.349999999999998</v>
      </c>
    </row>
    <row r="1366" spans="1:7" ht="15" customHeight="1">
      <c r="A1366" s="19" t="s">
        <v>196</v>
      </c>
      <c r="B1366" s="20" t="s">
        <v>8</v>
      </c>
      <c r="C1366" s="20">
        <v>67</v>
      </c>
      <c r="D1366" s="21" t="s">
        <v>40</v>
      </c>
      <c r="E1366" s="21" t="s">
        <v>10</v>
      </c>
      <c r="F1366" s="20">
        <v>0.15</v>
      </c>
      <c r="G1366" s="22">
        <f>C1366*F1366</f>
        <v>10.049999999999999</v>
      </c>
    </row>
    <row r="1367" spans="1:7" ht="15" customHeight="1">
      <c r="A1367" s="19" t="s">
        <v>196</v>
      </c>
      <c r="B1367" s="20" t="s">
        <v>11</v>
      </c>
      <c r="C1367" s="20">
        <v>69</v>
      </c>
      <c r="D1367" s="21" t="s">
        <v>41</v>
      </c>
      <c r="E1367" s="21" t="s">
        <v>13</v>
      </c>
      <c r="F1367" s="20">
        <v>0.2</v>
      </c>
      <c r="G1367" s="22">
        <f>C1367*F1367</f>
        <v>13.8</v>
      </c>
    </row>
    <row r="1368" spans="1:7" ht="15" customHeight="1">
      <c r="A1368" s="19" t="s">
        <v>196</v>
      </c>
      <c r="B1368" s="20" t="s">
        <v>14</v>
      </c>
      <c r="C1368" s="20">
        <v>70</v>
      </c>
      <c r="D1368" s="21" t="s">
        <v>41</v>
      </c>
      <c r="E1368" s="21" t="s">
        <v>13</v>
      </c>
      <c r="F1368" s="20">
        <v>0.25</v>
      </c>
      <c r="G1368" s="22">
        <f>C1368*F1368</f>
        <v>17.5</v>
      </c>
    </row>
    <row r="1369" spans="1:7" ht="15" customHeight="1">
      <c r="A1369" s="19" t="s">
        <v>196</v>
      </c>
      <c r="B1369" s="20" t="s">
        <v>16</v>
      </c>
      <c r="C1369" s="20">
        <v>70</v>
      </c>
      <c r="D1369" s="21" t="s">
        <v>42</v>
      </c>
      <c r="E1369" s="21" t="s">
        <v>18</v>
      </c>
      <c r="F1369" s="20">
        <v>0.4</v>
      </c>
      <c r="G1369" s="22">
        <f>C1369*F1369</f>
        <v>28</v>
      </c>
    </row>
    <row r="1370" spans="1:7" ht="15" customHeight="1">
      <c r="A1370" s="19" t="s">
        <v>196</v>
      </c>
      <c r="B1370" s="20" t="s">
        <v>19</v>
      </c>
      <c r="C1370" s="20">
        <v>69</v>
      </c>
      <c r="D1370" s="21" t="s">
        <v>43</v>
      </c>
      <c r="E1370" s="21" t="s">
        <v>21</v>
      </c>
      <c r="F1370" s="20">
        <v>0.2</v>
      </c>
      <c r="G1370" s="22">
        <f>C1370*F1370</f>
        <v>13.8</v>
      </c>
    </row>
    <row r="1371" spans="1:7" ht="15" customHeight="1">
      <c r="A1371" s="19" t="s">
        <v>196</v>
      </c>
      <c r="B1371" s="20" t="s">
        <v>22</v>
      </c>
      <c r="C1371" s="20">
        <v>64</v>
      </c>
      <c r="D1371" s="21" t="s">
        <v>23</v>
      </c>
      <c r="E1371" s="21" t="s">
        <v>24</v>
      </c>
      <c r="F1371" s="20">
        <v>0.3</v>
      </c>
      <c r="G1371" s="22">
        <f>C1371*F1371</f>
        <v>19.2</v>
      </c>
    </row>
    <row r="1372" spans="1:7" ht="15" customHeight="1">
      <c r="A1372" s="19" t="s">
        <v>196</v>
      </c>
      <c r="B1372" s="20" t="s">
        <v>25</v>
      </c>
      <c r="C1372" s="20">
        <v>69</v>
      </c>
      <c r="D1372" s="21" t="s">
        <v>45</v>
      </c>
      <c r="E1372" s="21" t="s">
        <v>27</v>
      </c>
      <c r="F1372" s="20">
        <v>0.5</v>
      </c>
      <c r="G1372" s="22">
        <f>C1372*F1372</f>
        <v>34.5</v>
      </c>
    </row>
    <row r="1373" spans="1:7" ht="15" customHeight="1">
      <c r="A1373" s="19" t="s">
        <v>196</v>
      </c>
      <c r="B1373" s="20" t="s">
        <v>28</v>
      </c>
      <c r="C1373" s="20">
        <v>71</v>
      </c>
      <c r="D1373" s="21" t="s">
        <v>46</v>
      </c>
      <c r="E1373" s="21" t="s">
        <v>30</v>
      </c>
      <c r="F1373" s="20">
        <v>0.1</v>
      </c>
      <c r="G1373" s="22">
        <f>C1373*F1373</f>
        <v>7.1000000000000005</v>
      </c>
    </row>
    <row r="1374" spans="1:7" ht="15" customHeight="1">
      <c r="A1374" s="19" t="s">
        <v>196</v>
      </c>
      <c r="B1374" s="20" t="s">
        <v>31</v>
      </c>
      <c r="C1374" s="20">
        <v>72</v>
      </c>
      <c r="D1374" s="21" t="s">
        <v>46</v>
      </c>
      <c r="E1374" s="21" t="s">
        <v>30</v>
      </c>
      <c r="F1374" s="20">
        <v>0.2</v>
      </c>
      <c r="G1374" s="22">
        <f>C1374*F1374</f>
        <v>14.4</v>
      </c>
    </row>
    <row r="1375" spans="1:7" ht="15" customHeight="1">
      <c r="A1375" s="19" t="s">
        <v>196</v>
      </c>
      <c r="B1375" s="20" t="s">
        <v>33</v>
      </c>
      <c r="C1375" s="20">
        <v>67</v>
      </c>
      <c r="D1375" s="21" t="s">
        <v>47</v>
      </c>
      <c r="E1375" s="21" t="s">
        <v>35</v>
      </c>
      <c r="F1375" s="20">
        <v>0.35</v>
      </c>
      <c r="G1375" s="22">
        <f>C1375*F1375</f>
        <v>23.45</v>
      </c>
    </row>
    <row r="1376" spans="1:7" ht="15" customHeight="1">
      <c r="A1376" s="19" t="s">
        <v>196</v>
      </c>
      <c r="B1376" s="20" t="s">
        <v>36</v>
      </c>
      <c r="C1376" s="20">
        <v>66</v>
      </c>
      <c r="D1376" s="21" t="s">
        <v>51</v>
      </c>
      <c r="E1376" s="21" t="s">
        <v>38</v>
      </c>
      <c r="F1376" s="20">
        <v>0.35</v>
      </c>
      <c r="G1376" s="22">
        <f>C1376*F1376</f>
        <v>23.099999999999998</v>
      </c>
    </row>
    <row r="1377" spans="1:7" ht="15" customHeight="1">
      <c r="A1377" s="19" t="s">
        <v>197</v>
      </c>
      <c r="B1377" s="20" t="s">
        <v>8</v>
      </c>
      <c r="C1377" s="20">
        <v>49</v>
      </c>
      <c r="D1377" s="21" t="s">
        <v>132</v>
      </c>
      <c r="E1377" s="21" t="s">
        <v>10</v>
      </c>
      <c r="F1377" s="20">
        <v>0.15</v>
      </c>
      <c r="G1377" s="22">
        <f>C1377*F1377</f>
        <v>7.35</v>
      </c>
    </row>
    <row r="1378" spans="1:7" ht="15" customHeight="1">
      <c r="A1378" s="19" t="s">
        <v>197</v>
      </c>
      <c r="B1378" s="20" t="s">
        <v>11</v>
      </c>
      <c r="C1378" s="20">
        <v>53</v>
      </c>
      <c r="D1378" s="21" t="s">
        <v>15</v>
      </c>
      <c r="E1378" s="21" t="s">
        <v>13</v>
      </c>
      <c r="F1378" s="20">
        <v>0.2</v>
      </c>
      <c r="G1378" s="22">
        <f>C1378*F1378</f>
        <v>10.600000000000001</v>
      </c>
    </row>
    <row r="1379" spans="1:7" ht="15" customHeight="1">
      <c r="A1379" s="19" t="s">
        <v>197</v>
      </c>
      <c r="B1379" s="20" t="s">
        <v>14</v>
      </c>
      <c r="C1379" s="20">
        <v>52</v>
      </c>
      <c r="D1379" s="21" t="s">
        <v>15</v>
      </c>
      <c r="E1379" s="21" t="s">
        <v>13</v>
      </c>
      <c r="F1379" s="20">
        <v>0.25</v>
      </c>
      <c r="G1379" s="22">
        <f>C1379*F1379</f>
        <v>13</v>
      </c>
    </row>
    <row r="1380" spans="1:7" ht="15" customHeight="1">
      <c r="A1380" s="19" t="s">
        <v>197</v>
      </c>
      <c r="B1380" s="20" t="s">
        <v>16</v>
      </c>
      <c r="C1380" s="20">
        <v>50</v>
      </c>
      <c r="D1380" s="21" t="s">
        <v>17</v>
      </c>
      <c r="E1380" s="21" t="s">
        <v>18</v>
      </c>
      <c r="F1380" s="20">
        <v>0.4</v>
      </c>
      <c r="G1380" s="22">
        <f>C1380*F1380</f>
        <v>20</v>
      </c>
    </row>
    <row r="1381" spans="1:7" ht="15" customHeight="1">
      <c r="A1381" s="19" t="s">
        <v>197</v>
      </c>
      <c r="B1381" s="20" t="s">
        <v>19</v>
      </c>
      <c r="C1381" s="20">
        <v>56</v>
      </c>
      <c r="D1381" s="21" t="s">
        <v>20</v>
      </c>
      <c r="E1381" s="21" t="s">
        <v>21</v>
      </c>
      <c r="F1381" s="20">
        <v>0.2</v>
      </c>
      <c r="G1381" s="22">
        <f>C1381*F1381</f>
        <v>11.200000000000001</v>
      </c>
    </row>
    <row r="1382" spans="1:7" ht="15" customHeight="1">
      <c r="A1382" s="19" t="s">
        <v>197</v>
      </c>
      <c r="B1382" s="20" t="s">
        <v>22</v>
      </c>
      <c r="C1382" s="20">
        <v>55</v>
      </c>
      <c r="D1382" s="21" t="s">
        <v>23</v>
      </c>
      <c r="E1382" s="21" t="s">
        <v>24</v>
      </c>
      <c r="F1382" s="20">
        <v>0.3</v>
      </c>
      <c r="G1382" s="22">
        <f>C1382*F1382</f>
        <v>16.5</v>
      </c>
    </row>
    <row r="1383" spans="1:7" ht="15" customHeight="1">
      <c r="A1383" s="19" t="s">
        <v>197</v>
      </c>
      <c r="B1383" s="20" t="s">
        <v>25</v>
      </c>
      <c r="C1383" s="20">
        <v>51</v>
      </c>
      <c r="D1383" s="21" t="s">
        <v>50</v>
      </c>
      <c r="E1383" s="21" t="s">
        <v>27</v>
      </c>
      <c r="F1383" s="20">
        <v>0.5</v>
      </c>
      <c r="G1383" s="22">
        <f>C1383*F1383</f>
        <v>25.5</v>
      </c>
    </row>
    <row r="1384" spans="1:7" ht="15" customHeight="1">
      <c r="A1384" s="19" t="s">
        <v>197</v>
      </c>
      <c r="B1384" s="20" t="s">
        <v>28</v>
      </c>
      <c r="C1384" s="20">
        <v>54</v>
      </c>
      <c r="D1384" s="21" t="s">
        <v>29</v>
      </c>
      <c r="E1384" s="21" t="s">
        <v>30</v>
      </c>
      <c r="F1384" s="20">
        <v>0.1</v>
      </c>
      <c r="G1384" s="22">
        <f>C1384*F1384</f>
        <v>5.4</v>
      </c>
    </row>
    <row r="1385" spans="1:7" ht="15" customHeight="1">
      <c r="A1385" s="19" t="s">
        <v>197</v>
      </c>
      <c r="B1385" s="20" t="s">
        <v>31</v>
      </c>
      <c r="C1385" s="20">
        <v>55</v>
      </c>
      <c r="D1385" s="21" t="s">
        <v>29</v>
      </c>
      <c r="E1385" s="21" t="s">
        <v>30</v>
      </c>
      <c r="F1385" s="20">
        <v>0.2</v>
      </c>
      <c r="G1385" s="22">
        <f>C1385*F1385</f>
        <v>11</v>
      </c>
    </row>
    <row r="1386" spans="1:7" ht="15" customHeight="1">
      <c r="A1386" s="19" t="s">
        <v>197</v>
      </c>
      <c r="B1386" s="20" t="s">
        <v>33</v>
      </c>
      <c r="C1386" s="20">
        <v>58</v>
      </c>
      <c r="D1386" s="21" t="s">
        <v>34</v>
      </c>
      <c r="E1386" s="21" t="s">
        <v>35</v>
      </c>
      <c r="F1386" s="20">
        <v>0.35</v>
      </c>
      <c r="G1386" s="22">
        <f>C1386*F1386</f>
        <v>20.299999999999997</v>
      </c>
    </row>
    <row r="1387" spans="1:7" ht="15" customHeight="1">
      <c r="A1387" s="19" t="s">
        <v>197</v>
      </c>
      <c r="B1387" s="20" t="s">
        <v>36</v>
      </c>
      <c r="C1387" s="20">
        <v>54</v>
      </c>
      <c r="D1387" s="21" t="s">
        <v>48</v>
      </c>
      <c r="E1387" s="21" t="s">
        <v>38</v>
      </c>
      <c r="F1387" s="20">
        <v>0.35</v>
      </c>
      <c r="G1387" s="22">
        <f>C1387*F1387</f>
        <v>18.899999999999999</v>
      </c>
    </row>
    <row r="1388" spans="1:7" ht="15" customHeight="1">
      <c r="A1388" s="19" t="s">
        <v>198</v>
      </c>
      <c r="B1388" s="20" t="s">
        <v>8</v>
      </c>
      <c r="C1388" s="20">
        <v>85</v>
      </c>
      <c r="D1388" s="21" t="s">
        <v>74</v>
      </c>
      <c r="E1388" s="21" t="s">
        <v>10</v>
      </c>
      <c r="F1388" s="20">
        <v>0.15</v>
      </c>
      <c r="G1388" s="22">
        <f>C1388*F1388</f>
        <v>12.75</v>
      </c>
    </row>
    <row r="1389" spans="1:7" ht="15" customHeight="1">
      <c r="A1389" s="19" t="s">
        <v>198</v>
      </c>
      <c r="B1389" s="20" t="s">
        <v>11</v>
      </c>
      <c r="C1389" s="20">
        <v>80</v>
      </c>
      <c r="D1389" s="21" t="s">
        <v>61</v>
      </c>
      <c r="E1389" s="21" t="s">
        <v>13</v>
      </c>
      <c r="F1389" s="20">
        <v>0.2</v>
      </c>
      <c r="G1389" s="22">
        <f>C1389*F1389</f>
        <v>16</v>
      </c>
    </row>
    <row r="1390" spans="1:7" ht="15" customHeight="1">
      <c r="A1390" s="19" t="s">
        <v>198</v>
      </c>
      <c r="B1390" s="20" t="s">
        <v>14</v>
      </c>
      <c r="C1390" s="20">
        <v>80</v>
      </c>
      <c r="D1390" s="21" t="s">
        <v>61</v>
      </c>
      <c r="E1390" s="21" t="s">
        <v>13</v>
      </c>
      <c r="F1390" s="20">
        <v>0.25</v>
      </c>
      <c r="G1390" s="22">
        <f>C1390*F1390</f>
        <v>20</v>
      </c>
    </row>
    <row r="1391" spans="1:7" ht="15" customHeight="1">
      <c r="A1391" s="19" t="s">
        <v>198</v>
      </c>
      <c r="B1391" s="20" t="s">
        <v>16</v>
      </c>
      <c r="C1391" s="20">
        <v>79</v>
      </c>
      <c r="D1391" s="21" t="s">
        <v>57</v>
      </c>
      <c r="E1391" s="21" t="s">
        <v>18</v>
      </c>
      <c r="F1391" s="20">
        <v>0.4</v>
      </c>
      <c r="G1391" s="22">
        <f>C1391*F1391</f>
        <v>31.6</v>
      </c>
    </row>
    <row r="1392" spans="1:7" ht="15" customHeight="1">
      <c r="A1392" s="19" t="s">
        <v>198</v>
      </c>
      <c r="B1392" s="20" t="s">
        <v>19</v>
      </c>
      <c r="C1392" s="20">
        <v>82</v>
      </c>
      <c r="D1392" s="21" t="s">
        <v>66</v>
      </c>
      <c r="E1392" s="21" t="s">
        <v>21</v>
      </c>
      <c r="F1392" s="20">
        <v>0.2</v>
      </c>
      <c r="G1392" s="22">
        <f>C1392*F1392</f>
        <v>16.400000000000002</v>
      </c>
    </row>
    <row r="1393" spans="1:7" ht="15" customHeight="1">
      <c r="A1393" s="19" t="s">
        <v>198</v>
      </c>
      <c r="B1393" s="20" t="s">
        <v>22</v>
      </c>
      <c r="C1393" s="20">
        <v>84</v>
      </c>
      <c r="D1393" s="21" t="s">
        <v>58</v>
      </c>
      <c r="E1393" s="21" t="s">
        <v>24</v>
      </c>
      <c r="F1393" s="20">
        <v>0.3</v>
      </c>
      <c r="G1393" s="22">
        <f>C1393*F1393</f>
        <v>25.2</v>
      </c>
    </row>
    <row r="1394" spans="1:7" ht="15" customHeight="1">
      <c r="A1394" s="19" t="s">
        <v>198</v>
      </c>
      <c r="B1394" s="20" t="s">
        <v>25</v>
      </c>
      <c r="C1394" s="20">
        <v>82</v>
      </c>
      <c r="D1394" s="21" t="s">
        <v>67</v>
      </c>
      <c r="E1394" s="21" t="s">
        <v>27</v>
      </c>
      <c r="F1394" s="20">
        <v>0.5</v>
      </c>
      <c r="G1394" s="22">
        <f>C1394*F1394</f>
        <v>41</v>
      </c>
    </row>
    <row r="1395" spans="1:7" ht="15" customHeight="1">
      <c r="A1395" s="19" t="s">
        <v>198</v>
      </c>
      <c r="B1395" s="20" t="s">
        <v>28</v>
      </c>
      <c r="C1395" s="20">
        <v>83</v>
      </c>
      <c r="D1395" s="21" t="s">
        <v>62</v>
      </c>
      <c r="E1395" s="21" t="s">
        <v>30</v>
      </c>
      <c r="F1395" s="20">
        <v>0.1</v>
      </c>
      <c r="G1395" s="22">
        <f>C1395*F1395</f>
        <v>8.3000000000000007</v>
      </c>
    </row>
    <row r="1396" spans="1:7" ht="15" customHeight="1">
      <c r="A1396" s="19" t="s">
        <v>198</v>
      </c>
      <c r="B1396" s="20" t="s">
        <v>31</v>
      </c>
      <c r="C1396" s="20">
        <v>84</v>
      </c>
      <c r="D1396" s="21" t="s">
        <v>62</v>
      </c>
      <c r="E1396" s="21" t="s">
        <v>30</v>
      </c>
      <c r="F1396" s="20">
        <v>0.2</v>
      </c>
      <c r="G1396" s="22">
        <f>C1396*F1396</f>
        <v>16.8</v>
      </c>
    </row>
    <row r="1397" spans="1:7" ht="15" customHeight="1">
      <c r="A1397" s="19" t="s">
        <v>198</v>
      </c>
      <c r="B1397" s="20" t="s">
        <v>33</v>
      </c>
      <c r="C1397" s="20">
        <v>86</v>
      </c>
      <c r="D1397" s="21" t="s">
        <v>98</v>
      </c>
      <c r="E1397" s="21" t="s">
        <v>35</v>
      </c>
      <c r="F1397" s="20">
        <v>0.35</v>
      </c>
      <c r="G1397" s="22">
        <f>C1397*F1397</f>
        <v>30.099999999999998</v>
      </c>
    </row>
    <row r="1398" spans="1:7" ht="15" customHeight="1">
      <c r="A1398" s="19" t="s">
        <v>198</v>
      </c>
      <c r="B1398" s="20" t="s">
        <v>36</v>
      </c>
      <c r="C1398" s="20">
        <v>86</v>
      </c>
      <c r="D1398" s="21" t="s">
        <v>111</v>
      </c>
      <c r="E1398" s="21" t="s">
        <v>38</v>
      </c>
      <c r="F1398" s="20">
        <v>0.35</v>
      </c>
      <c r="G1398" s="22">
        <f>C1398*F1398</f>
        <v>30.099999999999998</v>
      </c>
    </row>
    <row r="1399" spans="1:7" ht="15" customHeight="1">
      <c r="A1399" s="19" t="s">
        <v>199</v>
      </c>
      <c r="B1399" s="20" t="s">
        <v>8</v>
      </c>
      <c r="C1399" s="20">
        <v>63</v>
      </c>
      <c r="D1399" s="21" t="s">
        <v>9</v>
      </c>
      <c r="E1399" s="21" t="s">
        <v>10</v>
      </c>
      <c r="F1399" s="20">
        <v>0.15</v>
      </c>
      <c r="G1399" s="22">
        <f>C1399*F1399</f>
        <v>9.4499999999999993</v>
      </c>
    </row>
    <row r="1400" spans="1:7" ht="15" customHeight="1">
      <c r="A1400" s="19" t="s">
        <v>199</v>
      </c>
      <c r="B1400" s="20" t="s">
        <v>11</v>
      </c>
      <c r="C1400" s="20">
        <v>63</v>
      </c>
      <c r="D1400" s="21" t="s">
        <v>15</v>
      </c>
      <c r="E1400" s="21" t="s">
        <v>13</v>
      </c>
      <c r="F1400" s="20">
        <v>0.2</v>
      </c>
      <c r="G1400" s="22">
        <f>C1400*F1400</f>
        <v>12.600000000000001</v>
      </c>
    </row>
    <row r="1401" spans="1:7" ht="15" customHeight="1">
      <c r="A1401" s="19" t="s">
        <v>199</v>
      </c>
      <c r="B1401" s="20" t="s">
        <v>14</v>
      </c>
      <c r="C1401" s="20">
        <v>60</v>
      </c>
      <c r="D1401" s="21" t="s">
        <v>15</v>
      </c>
      <c r="E1401" s="21" t="s">
        <v>13</v>
      </c>
      <c r="F1401" s="20">
        <v>0.25</v>
      </c>
      <c r="G1401" s="22">
        <f>C1401*F1401</f>
        <v>15</v>
      </c>
    </row>
    <row r="1402" spans="1:7" ht="15" customHeight="1">
      <c r="A1402" s="19" t="s">
        <v>199</v>
      </c>
      <c r="B1402" s="20" t="s">
        <v>16</v>
      </c>
      <c r="C1402" s="20">
        <v>62</v>
      </c>
      <c r="D1402" s="21" t="s">
        <v>17</v>
      </c>
      <c r="E1402" s="21" t="s">
        <v>18</v>
      </c>
      <c r="F1402" s="20">
        <v>0.4</v>
      </c>
      <c r="G1402" s="22">
        <f>C1402*F1402</f>
        <v>24.8</v>
      </c>
    </row>
    <row r="1403" spans="1:7" ht="15" customHeight="1">
      <c r="A1403" s="19" t="s">
        <v>199</v>
      </c>
      <c r="B1403" s="20" t="s">
        <v>19</v>
      </c>
      <c r="C1403" s="20">
        <v>67</v>
      </c>
      <c r="D1403" s="21" t="s">
        <v>43</v>
      </c>
      <c r="E1403" s="21" t="s">
        <v>21</v>
      </c>
      <c r="F1403" s="20">
        <v>0.2</v>
      </c>
      <c r="G1403" s="22">
        <f>C1403*F1403</f>
        <v>13.4</v>
      </c>
    </row>
    <row r="1404" spans="1:7" ht="15" customHeight="1">
      <c r="A1404" s="19" t="s">
        <v>199</v>
      </c>
      <c r="B1404" s="20" t="s">
        <v>22</v>
      </c>
      <c r="C1404" s="20">
        <v>66</v>
      </c>
      <c r="D1404" s="21" t="s">
        <v>44</v>
      </c>
      <c r="E1404" s="21" t="s">
        <v>24</v>
      </c>
      <c r="F1404" s="20">
        <v>0.3</v>
      </c>
      <c r="G1404" s="22">
        <f>C1404*F1404</f>
        <v>19.8</v>
      </c>
    </row>
    <row r="1405" spans="1:7" ht="15" customHeight="1">
      <c r="A1405" s="19" t="s">
        <v>199</v>
      </c>
      <c r="B1405" s="20" t="s">
        <v>25</v>
      </c>
      <c r="C1405" s="20">
        <v>65</v>
      </c>
      <c r="D1405" s="21" t="s">
        <v>45</v>
      </c>
      <c r="E1405" s="21" t="s">
        <v>27</v>
      </c>
      <c r="F1405" s="20">
        <v>0.5</v>
      </c>
      <c r="G1405" s="22">
        <f>C1405*F1405</f>
        <v>32.5</v>
      </c>
    </row>
    <row r="1406" spans="1:7" ht="15" customHeight="1">
      <c r="A1406" s="19" t="s">
        <v>199</v>
      </c>
      <c r="B1406" s="20" t="s">
        <v>28</v>
      </c>
      <c r="C1406" s="20">
        <v>64</v>
      </c>
      <c r="D1406" s="21" t="s">
        <v>29</v>
      </c>
      <c r="E1406" s="21" t="s">
        <v>30</v>
      </c>
      <c r="F1406" s="20">
        <v>0.1</v>
      </c>
      <c r="G1406" s="22">
        <f>C1406*F1406</f>
        <v>6.4</v>
      </c>
    </row>
    <row r="1407" spans="1:7" ht="15" customHeight="1">
      <c r="A1407" s="19" t="s">
        <v>199</v>
      </c>
      <c r="B1407" s="20" t="s">
        <v>31</v>
      </c>
      <c r="C1407" s="20">
        <v>68</v>
      </c>
      <c r="D1407" s="21" t="s">
        <v>46</v>
      </c>
      <c r="E1407" s="21" t="s">
        <v>30</v>
      </c>
      <c r="F1407" s="20">
        <v>0.2</v>
      </c>
      <c r="G1407" s="22">
        <f>C1407*F1407</f>
        <v>13.600000000000001</v>
      </c>
    </row>
    <row r="1408" spans="1:7" ht="15" customHeight="1">
      <c r="A1408" s="19" t="s">
        <v>199</v>
      </c>
      <c r="B1408" s="20" t="s">
        <v>33</v>
      </c>
      <c r="C1408" s="20">
        <v>66</v>
      </c>
      <c r="D1408" s="21" t="s">
        <v>47</v>
      </c>
      <c r="E1408" s="21" t="s">
        <v>35</v>
      </c>
      <c r="F1408" s="20">
        <v>0.35</v>
      </c>
      <c r="G1408" s="22">
        <f>C1408*F1408</f>
        <v>23.099999999999998</v>
      </c>
    </row>
    <row r="1409" spans="1:7" ht="15" customHeight="1">
      <c r="A1409" s="19" t="s">
        <v>199</v>
      </c>
      <c r="B1409" s="20" t="s">
        <v>36</v>
      </c>
      <c r="C1409" s="20">
        <v>67</v>
      </c>
      <c r="D1409" s="21" t="s">
        <v>51</v>
      </c>
      <c r="E1409" s="21" t="s">
        <v>38</v>
      </c>
      <c r="F1409" s="20">
        <v>0.35</v>
      </c>
      <c r="G1409" s="22">
        <f>C1409*F1409</f>
        <v>23.45</v>
      </c>
    </row>
    <row r="1410" spans="1:7" ht="15" customHeight="1">
      <c r="A1410" s="19" t="s">
        <v>200</v>
      </c>
      <c r="B1410" s="20" t="s">
        <v>8</v>
      </c>
      <c r="C1410" s="20">
        <v>75</v>
      </c>
      <c r="D1410" s="21" t="s">
        <v>56</v>
      </c>
      <c r="E1410" s="21" t="s">
        <v>10</v>
      </c>
      <c r="F1410" s="20">
        <v>0.15</v>
      </c>
      <c r="G1410" s="22">
        <f>C1410*F1410</f>
        <v>11.25</v>
      </c>
    </row>
    <row r="1411" spans="1:7" ht="15" customHeight="1">
      <c r="A1411" s="19" t="s">
        <v>200</v>
      </c>
      <c r="B1411" s="20" t="s">
        <v>11</v>
      </c>
      <c r="C1411" s="20">
        <v>73</v>
      </c>
      <c r="D1411" s="21" t="s">
        <v>41</v>
      </c>
      <c r="E1411" s="21" t="s">
        <v>13</v>
      </c>
      <c r="F1411" s="20">
        <v>0.2</v>
      </c>
      <c r="G1411" s="22">
        <f>C1411*F1411</f>
        <v>14.600000000000001</v>
      </c>
    </row>
    <row r="1412" spans="1:7" ht="15" customHeight="1">
      <c r="A1412" s="19" t="s">
        <v>200</v>
      </c>
      <c r="B1412" s="20" t="s">
        <v>14</v>
      </c>
      <c r="C1412" s="20">
        <v>74</v>
      </c>
      <c r="D1412" s="21" t="s">
        <v>41</v>
      </c>
      <c r="E1412" s="21" t="s">
        <v>13</v>
      </c>
      <c r="F1412" s="20">
        <v>0.25</v>
      </c>
      <c r="G1412" s="22">
        <f>C1412*F1412</f>
        <v>18.5</v>
      </c>
    </row>
    <row r="1413" spans="1:7" ht="15" customHeight="1">
      <c r="A1413" s="19" t="s">
        <v>200</v>
      </c>
      <c r="B1413" s="20" t="s">
        <v>16</v>
      </c>
      <c r="C1413" s="20">
        <v>74</v>
      </c>
      <c r="D1413" s="21" t="s">
        <v>42</v>
      </c>
      <c r="E1413" s="21" t="s">
        <v>18</v>
      </c>
      <c r="F1413" s="20">
        <v>0.4</v>
      </c>
      <c r="G1413" s="22">
        <f>C1413*F1413</f>
        <v>29.6</v>
      </c>
    </row>
    <row r="1414" spans="1:7" ht="15" customHeight="1">
      <c r="A1414" s="19" t="s">
        <v>200</v>
      </c>
      <c r="B1414" s="20" t="s">
        <v>19</v>
      </c>
      <c r="C1414" s="20">
        <v>73</v>
      </c>
      <c r="D1414" s="21" t="s">
        <v>43</v>
      </c>
      <c r="E1414" s="21" t="s">
        <v>21</v>
      </c>
      <c r="F1414" s="20">
        <v>0.2</v>
      </c>
      <c r="G1414" s="22">
        <f>C1414*F1414</f>
        <v>14.600000000000001</v>
      </c>
    </row>
    <row r="1415" spans="1:7" ht="15" customHeight="1">
      <c r="A1415" s="19" t="s">
        <v>200</v>
      </c>
      <c r="B1415" s="20" t="s">
        <v>22</v>
      </c>
      <c r="C1415" s="20">
        <v>72</v>
      </c>
      <c r="D1415" s="21" t="s">
        <v>44</v>
      </c>
      <c r="E1415" s="21" t="s">
        <v>24</v>
      </c>
      <c r="F1415" s="20">
        <v>0.3</v>
      </c>
      <c r="G1415" s="22">
        <f>C1415*F1415</f>
        <v>21.599999999999998</v>
      </c>
    </row>
    <row r="1416" spans="1:7" ht="15" customHeight="1">
      <c r="A1416" s="19" t="s">
        <v>200</v>
      </c>
      <c r="B1416" s="20" t="s">
        <v>25</v>
      </c>
      <c r="C1416" s="20">
        <v>73</v>
      </c>
      <c r="D1416" s="21" t="s">
        <v>45</v>
      </c>
      <c r="E1416" s="21" t="s">
        <v>27</v>
      </c>
      <c r="F1416" s="20">
        <v>0.5</v>
      </c>
      <c r="G1416" s="22">
        <f>C1416*F1416</f>
        <v>36.5</v>
      </c>
    </row>
    <row r="1417" spans="1:7" ht="15" customHeight="1">
      <c r="A1417" s="19" t="s">
        <v>200</v>
      </c>
      <c r="B1417" s="20" t="s">
        <v>28</v>
      </c>
      <c r="C1417" s="20">
        <v>77</v>
      </c>
      <c r="D1417" s="21" t="s">
        <v>62</v>
      </c>
      <c r="E1417" s="21" t="s">
        <v>30</v>
      </c>
      <c r="F1417" s="20">
        <v>0.1</v>
      </c>
      <c r="G1417" s="22">
        <f>C1417*F1417</f>
        <v>7.7</v>
      </c>
    </row>
    <row r="1418" spans="1:7" ht="15" customHeight="1">
      <c r="A1418" s="19" t="s">
        <v>200</v>
      </c>
      <c r="B1418" s="20" t="s">
        <v>31</v>
      </c>
      <c r="C1418" s="20">
        <v>77</v>
      </c>
      <c r="D1418" s="21" t="s">
        <v>62</v>
      </c>
      <c r="E1418" s="21" t="s">
        <v>30</v>
      </c>
      <c r="F1418" s="20">
        <v>0.2</v>
      </c>
      <c r="G1418" s="22">
        <f>C1418*F1418</f>
        <v>15.4</v>
      </c>
    </row>
    <row r="1419" spans="1:7" ht="15" customHeight="1">
      <c r="A1419" s="19" t="s">
        <v>200</v>
      </c>
      <c r="B1419" s="20" t="s">
        <v>33</v>
      </c>
      <c r="C1419" s="20">
        <v>78</v>
      </c>
      <c r="D1419" s="21" t="s">
        <v>63</v>
      </c>
      <c r="E1419" s="21" t="s">
        <v>35</v>
      </c>
      <c r="F1419" s="20">
        <v>0.35</v>
      </c>
      <c r="G1419" s="22">
        <f>C1419*F1419</f>
        <v>27.299999999999997</v>
      </c>
    </row>
    <row r="1420" spans="1:7" ht="15" customHeight="1">
      <c r="A1420" s="19" t="s">
        <v>200</v>
      </c>
      <c r="B1420" s="20" t="s">
        <v>36</v>
      </c>
      <c r="C1420" s="20">
        <v>81</v>
      </c>
      <c r="D1420" s="21" t="s">
        <v>59</v>
      </c>
      <c r="E1420" s="21" t="s">
        <v>38</v>
      </c>
      <c r="F1420" s="20">
        <v>0.35</v>
      </c>
      <c r="G1420" s="22">
        <f>C1420*F1420</f>
        <v>28.349999999999998</v>
      </c>
    </row>
    <row r="1421" spans="1:7" ht="15" customHeight="1">
      <c r="A1421" s="19" t="s">
        <v>201</v>
      </c>
      <c r="B1421" s="20" t="s">
        <v>8</v>
      </c>
      <c r="C1421" s="20">
        <v>48</v>
      </c>
      <c r="D1421" s="21" t="s">
        <v>132</v>
      </c>
      <c r="E1421" s="21" t="s">
        <v>10</v>
      </c>
      <c r="F1421" s="20">
        <v>0.15</v>
      </c>
      <c r="G1421" s="22">
        <f>C1421*F1421</f>
        <v>7.1999999999999993</v>
      </c>
    </row>
    <row r="1422" spans="1:7" ht="15" customHeight="1">
      <c r="A1422" s="19" t="s">
        <v>201</v>
      </c>
      <c r="B1422" s="20" t="s">
        <v>11</v>
      </c>
      <c r="C1422" s="20">
        <v>48</v>
      </c>
      <c r="D1422" s="21" t="s">
        <v>12</v>
      </c>
      <c r="E1422" s="21" t="s">
        <v>13</v>
      </c>
      <c r="F1422" s="20">
        <v>0.2</v>
      </c>
      <c r="G1422" s="22">
        <f>C1422*F1422</f>
        <v>9.6000000000000014</v>
      </c>
    </row>
    <row r="1423" spans="1:7" ht="15" customHeight="1">
      <c r="A1423" s="19" t="s">
        <v>201</v>
      </c>
      <c r="B1423" s="20" t="s">
        <v>14</v>
      </c>
      <c r="C1423" s="20">
        <v>49</v>
      </c>
      <c r="D1423" s="21" t="s">
        <v>12</v>
      </c>
      <c r="E1423" s="21" t="s">
        <v>13</v>
      </c>
      <c r="F1423" s="20">
        <v>0.25</v>
      </c>
      <c r="G1423" s="22">
        <f>C1423*F1423</f>
        <v>12.25</v>
      </c>
    </row>
    <row r="1424" spans="1:7" ht="15" customHeight="1">
      <c r="A1424" s="19" t="s">
        <v>201</v>
      </c>
      <c r="B1424" s="20" t="s">
        <v>16</v>
      </c>
      <c r="C1424" s="20">
        <v>48</v>
      </c>
      <c r="D1424" s="21" t="s">
        <v>124</v>
      </c>
      <c r="E1424" s="21" t="s">
        <v>18</v>
      </c>
      <c r="F1424" s="20">
        <v>0.4</v>
      </c>
      <c r="G1424" s="22">
        <f>C1424*F1424</f>
        <v>19.200000000000003</v>
      </c>
    </row>
    <row r="1425" spans="1:7" ht="15" customHeight="1">
      <c r="A1425" s="19" t="s">
        <v>201</v>
      </c>
      <c r="B1425" s="20" t="s">
        <v>19</v>
      </c>
      <c r="C1425" s="20">
        <v>43</v>
      </c>
      <c r="D1425" s="21" t="s">
        <v>53</v>
      </c>
      <c r="E1425" s="21" t="s">
        <v>21</v>
      </c>
      <c r="F1425" s="20">
        <v>0.2</v>
      </c>
      <c r="G1425" s="22">
        <f>C1425*F1425</f>
        <v>8.6</v>
      </c>
    </row>
    <row r="1426" spans="1:7" ht="15" customHeight="1">
      <c r="A1426" s="19" t="s">
        <v>201</v>
      </c>
      <c r="B1426" s="20" t="s">
        <v>22</v>
      </c>
      <c r="C1426" s="20">
        <v>48</v>
      </c>
      <c r="D1426" s="21" t="s">
        <v>54</v>
      </c>
      <c r="E1426" s="21" t="s">
        <v>24</v>
      </c>
      <c r="F1426" s="20">
        <v>0.3</v>
      </c>
      <c r="G1426" s="22">
        <f>C1426*F1426</f>
        <v>14.399999999999999</v>
      </c>
    </row>
    <row r="1427" spans="1:7" ht="15" customHeight="1">
      <c r="A1427" s="19" t="s">
        <v>201</v>
      </c>
      <c r="B1427" s="20" t="s">
        <v>25</v>
      </c>
      <c r="C1427" s="20">
        <v>44</v>
      </c>
      <c r="D1427" s="21" t="s">
        <v>26</v>
      </c>
      <c r="E1427" s="21" t="s">
        <v>27</v>
      </c>
      <c r="F1427" s="20">
        <v>0.5</v>
      </c>
      <c r="G1427" s="22">
        <f>C1427*F1427</f>
        <v>22</v>
      </c>
    </row>
    <row r="1428" spans="1:7" ht="15" customHeight="1">
      <c r="A1428" s="19" t="s">
        <v>201</v>
      </c>
      <c r="B1428" s="20" t="s">
        <v>28</v>
      </c>
      <c r="C1428" s="20">
        <v>49</v>
      </c>
      <c r="D1428" s="21" t="s">
        <v>32</v>
      </c>
      <c r="E1428" s="21" t="s">
        <v>30</v>
      </c>
      <c r="F1428" s="20">
        <v>0.1</v>
      </c>
      <c r="G1428" s="22">
        <f>C1428*F1428</f>
        <v>4.9000000000000004</v>
      </c>
    </row>
    <row r="1429" spans="1:7" ht="15" customHeight="1">
      <c r="A1429" s="19" t="s">
        <v>201</v>
      </c>
      <c r="B1429" s="20" t="s">
        <v>31</v>
      </c>
      <c r="C1429" s="20">
        <v>47</v>
      </c>
      <c r="D1429" s="21" t="s">
        <v>32</v>
      </c>
      <c r="E1429" s="21" t="s">
        <v>30</v>
      </c>
      <c r="F1429" s="20">
        <v>0.2</v>
      </c>
      <c r="G1429" s="22">
        <f>C1429*F1429</f>
        <v>9.4</v>
      </c>
    </row>
    <row r="1430" spans="1:7" ht="15" customHeight="1">
      <c r="A1430" s="19" t="s">
        <v>201</v>
      </c>
      <c r="B1430" s="20" t="s">
        <v>33</v>
      </c>
      <c r="C1430" s="20">
        <v>49</v>
      </c>
      <c r="D1430" s="21" t="s">
        <v>118</v>
      </c>
      <c r="E1430" s="21" t="s">
        <v>35</v>
      </c>
      <c r="F1430" s="20">
        <v>0.35</v>
      </c>
      <c r="G1430" s="22">
        <f>C1430*F1430</f>
        <v>17.149999999999999</v>
      </c>
    </row>
    <row r="1431" spans="1:7" ht="15" customHeight="1">
      <c r="A1431" s="19" t="s">
        <v>201</v>
      </c>
      <c r="B1431" s="20" t="s">
        <v>36</v>
      </c>
      <c r="C1431" s="20">
        <v>48</v>
      </c>
      <c r="D1431" s="21" t="s">
        <v>37</v>
      </c>
      <c r="E1431" s="21" t="s">
        <v>38</v>
      </c>
      <c r="F1431" s="20">
        <v>0.35</v>
      </c>
      <c r="G1431" s="22">
        <f>C1431*F1431</f>
        <v>16.799999999999997</v>
      </c>
    </row>
    <row r="1432" spans="1:7" ht="15" customHeight="1">
      <c r="A1432" s="19" t="s">
        <v>202</v>
      </c>
      <c r="B1432" s="20" t="s">
        <v>8</v>
      </c>
      <c r="C1432" s="20">
        <v>62</v>
      </c>
      <c r="D1432" s="21" t="s">
        <v>9</v>
      </c>
      <c r="E1432" s="21" t="s">
        <v>10</v>
      </c>
      <c r="F1432" s="20">
        <v>0.15</v>
      </c>
      <c r="G1432" s="22">
        <f>C1432*F1432</f>
        <v>9.2999999999999989</v>
      </c>
    </row>
    <row r="1433" spans="1:7" ht="15" customHeight="1">
      <c r="A1433" s="19" t="s">
        <v>202</v>
      </c>
      <c r="B1433" s="20" t="s">
        <v>11</v>
      </c>
      <c r="C1433" s="20">
        <v>64</v>
      </c>
      <c r="D1433" s="21" t="s">
        <v>15</v>
      </c>
      <c r="E1433" s="21" t="s">
        <v>13</v>
      </c>
      <c r="F1433" s="20">
        <v>0.2</v>
      </c>
      <c r="G1433" s="22">
        <f>C1433*F1433</f>
        <v>12.8</v>
      </c>
    </row>
    <row r="1434" spans="1:7" ht="15" customHeight="1">
      <c r="A1434" s="19" t="s">
        <v>202</v>
      </c>
      <c r="B1434" s="20" t="s">
        <v>14</v>
      </c>
      <c r="C1434" s="20">
        <v>63</v>
      </c>
      <c r="D1434" s="21" t="s">
        <v>15</v>
      </c>
      <c r="E1434" s="21" t="s">
        <v>13</v>
      </c>
      <c r="F1434" s="20">
        <v>0.25</v>
      </c>
      <c r="G1434" s="22">
        <f>C1434*F1434</f>
        <v>15.75</v>
      </c>
    </row>
    <row r="1435" spans="1:7" ht="15" customHeight="1">
      <c r="A1435" s="19" t="s">
        <v>202</v>
      </c>
      <c r="B1435" s="20" t="s">
        <v>16</v>
      </c>
      <c r="C1435" s="20">
        <v>62</v>
      </c>
      <c r="D1435" s="21" t="s">
        <v>17</v>
      </c>
      <c r="E1435" s="21" t="s">
        <v>18</v>
      </c>
      <c r="F1435" s="20">
        <v>0.4</v>
      </c>
      <c r="G1435" s="22">
        <f>C1435*F1435</f>
        <v>24.8</v>
      </c>
    </row>
    <row r="1436" spans="1:7" ht="15" customHeight="1">
      <c r="A1436" s="19" t="s">
        <v>202</v>
      </c>
      <c r="B1436" s="20" t="s">
        <v>19</v>
      </c>
      <c r="C1436" s="20">
        <v>62</v>
      </c>
      <c r="D1436" s="21" t="s">
        <v>20</v>
      </c>
      <c r="E1436" s="21" t="s">
        <v>21</v>
      </c>
      <c r="F1436" s="20">
        <v>0.2</v>
      </c>
      <c r="G1436" s="22">
        <f>C1436*F1436</f>
        <v>12.4</v>
      </c>
    </row>
    <row r="1437" spans="1:7" ht="15" customHeight="1">
      <c r="A1437" s="19" t="s">
        <v>202</v>
      </c>
      <c r="B1437" s="20" t="s">
        <v>22</v>
      </c>
      <c r="C1437" s="20">
        <v>57</v>
      </c>
      <c r="D1437" s="21" t="s">
        <v>23</v>
      </c>
      <c r="E1437" s="21" t="s">
        <v>24</v>
      </c>
      <c r="F1437" s="20">
        <v>0.3</v>
      </c>
      <c r="G1437" s="22">
        <f>C1437*F1437</f>
        <v>17.099999999999998</v>
      </c>
    </row>
    <row r="1438" spans="1:7" ht="15" customHeight="1">
      <c r="A1438" s="19" t="s">
        <v>202</v>
      </c>
      <c r="B1438" s="20" t="s">
        <v>25</v>
      </c>
      <c r="C1438" s="20">
        <v>61</v>
      </c>
      <c r="D1438" s="21" t="s">
        <v>50</v>
      </c>
      <c r="E1438" s="21" t="s">
        <v>27</v>
      </c>
      <c r="F1438" s="20">
        <v>0.5</v>
      </c>
      <c r="G1438" s="22">
        <f>C1438*F1438</f>
        <v>30.5</v>
      </c>
    </row>
    <row r="1439" spans="1:7" ht="15" customHeight="1">
      <c r="A1439" s="19" t="s">
        <v>202</v>
      </c>
      <c r="B1439" s="20" t="s">
        <v>28</v>
      </c>
      <c r="C1439" s="20">
        <v>65</v>
      </c>
      <c r="D1439" s="21" t="s">
        <v>46</v>
      </c>
      <c r="E1439" s="21" t="s">
        <v>30</v>
      </c>
      <c r="F1439" s="20">
        <v>0.1</v>
      </c>
      <c r="G1439" s="22">
        <f>C1439*F1439</f>
        <v>6.5</v>
      </c>
    </row>
    <row r="1440" spans="1:7" ht="15" customHeight="1">
      <c r="A1440" s="19" t="s">
        <v>202</v>
      </c>
      <c r="B1440" s="20" t="s">
        <v>31</v>
      </c>
      <c r="C1440" s="20">
        <v>63</v>
      </c>
      <c r="D1440" s="21" t="s">
        <v>29</v>
      </c>
      <c r="E1440" s="21" t="s">
        <v>30</v>
      </c>
      <c r="F1440" s="20">
        <v>0.2</v>
      </c>
      <c r="G1440" s="22">
        <f>C1440*F1440</f>
        <v>12.600000000000001</v>
      </c>
    </row>
    <row r="1441" spans="1:7" ht="15" customHeight="1">
      <c r="A1441" s="19" t="s">
        <v>202</v>
      </c>
      <c r="B1441" s="20" t="s">
        <v>33</v>
      </c>
      <c r="C1441" s="20">
        <v>64</v>
      </c>
      <c r="D1441" s="21" t="s">
        <v>34</v>
      </c>
      <c r="E1441" s="21" t="s">
        <v>35</v>
      </c>
      <c r="F1441" s="20">
        <v>0.35</v>
      </c>
      <c r="G1441" s="22">
        <f>C1441*F1441</f>
        <v>22.4</v>
      </c>
    </row>
    <row r="1442" spans="1:7" ht="15" customHeight="1">
      <c r="A1442" s="19" t="s">
        <v>202</v>
      </c>
      <c r="B1442" s="20" t="s">
        <v>36</v>
      </c>
      <c r="C1442" s="20">
        <v>62</v>
      </c>
      <c r="D1442" s="21" t="s">
        <v>48</v>
      </c>
      <c r="E1442" s="21" t="s">
        <v>38</v>
      </c>
      <c r="F1442" s="20">
        <v>0.35</v>
      </c>
      <c r="G1442" s="22">
        <f>C1442*F1442</f>
        <v>21.7</v>
      </c>
    </row>
    <row r="1443" spans="1:7" ht="15" customHeight="1">
      <c r="A1443" s="19" t="s">
        <v>203</v>
      </c>
      <c r="B1443" s="20" t="s">
        <v>8</v>
      </c>
      <c r="C1443" s="20">
        <v>63</v>
      </c>
      <c r="D1443" s="21" t="s">
        <v>9</v>
      </c>
      <c r="E1443" s="21" t="s">
        <v>10</v>
      </c>
      <c r="F1443" s="20">
        <v>0.15</v>
      </c>
      <c r="G1443" s="22">
        <f>C1443*F1443</f>
        <v>9.4499999999999993</v>
      </c>
    </row>
    <row r="1444" spans="1:7" ht="15" customHeight="1">
      <c r="A1444" s="19" t="s">
        <v>203</v>
      </c>
      <c r="B1444" s="20" t="s">
        <v>11</v>
      </c>
      <c r="C1444" s="20">
        <v>64</v>
      </c>
      <c r="D1444" s="21" t="s">
        <v>15</v>
      </c>
      <c r="E1444" s="21" t="s">
        <v>13</v>
      </c>
      <c r="F1444" s="20">
        <v>0.2</v>
      </c>
      <c r="G1444" s="22">
        <f>C1444*F1444</f>
        <v>12.8</v>
      </c>
    </row>
    <row r="1445" spans="1:7" ht="15" customHeight="1">
      <c r="A1445" s="19" t="s">
        <v>203</v>
      </c>
      <c r="B1445" s="20" t="s">
        <v>14</v>
      </c>
      <c r="C1445" s="20">
        <v>66</v>
      </c>
      <c r="D1445" s="21" t="s">
        <v>41</v>
      </c>
      <c r="E1445" s="21" t="s">
        <v>13</v>
      </c>
      <c r="F1445" s="20">
        <v>0.25</v>
      </c>
      <c r="G1445" s="22">
        <f>C1445*F1445</f>
        <v>16.5</v>
      </c>
    </row>
    <row r="1446" spans="1:7" ht="15" customHeight="1">
      <c r="A1446" s="19" t="s">
        <v>203</v>
      </c>
      <c r="B1446" s="20" t="s">
        <v>16</v>
      </c>
      <c r="C1446" s="20">
        <v>65</v>
      </c>
      <c r="D1446" s="21" t="s">
        <v>42</v>
      </c>
      <c r="E1446" s="21" t="s">
        <v>18</v>
      </c>
      <c r="F1446" s="20">
        <v>0.4</v>
      </c>
      <c r="G1446" s="22">
        <f>C1446*F1446</f>
        <v>26</v>
      </c>
    </row>
    <row r="1447" spans="1:7" ht="15" customHeight="1">
      <c r="A1447" s="19" t="s">
        <v>203</v>
      </c>
      <c r="B1447" s="20" t="s">
        <v>19</v>
      </c>
      <c r="C1447" s="20">
        <v>63</v>
      </c>
      <c r="D1447" s="21" t="s">
        <v>20</v>
      </c>
      <c r="E1447" s="21" t="s">
        <v>21</v>
      </c>
      <c r="F1447" s="20">
        <v>0.2</v>
      </c>
      <c r="G1447" s="22">
        <f>C1447*F1447</f>
        <v>12.600000000000001</v>
      </c>
    </row>
    <row r="1448" spans="1:7" ht="15" customHeight="1">
      <c r="A1448" s="19" t="s">
        <v>203</v>
      </c>
      <c r="B1448" s="20" t="s">
        <v>22</v>
      </c>
      <c r="C1448" s="20">
        <v>59</v>
      </c>
      <c r="D1448" s="21" t="s">
        <v>23</v>
      </c>
      <c r="E1448" s="21" t="s">
        <v>24</v>
      </c>
      <c r="F1448" s="20">
        <v>0.3</v>
      </c>
      <c r="G1448" s="22">
        <f>C1448*F1448</f>
        <v>17.7</v>
      </c>
    </row>
    <row r="1449" spans="1:7" ht="15" customHeight="1">
      <c r="A1449" s="19" t="s">
        <v>203</v>
      </c>
      <c r="B1449" s="20" t="s">
        <v>25</v>
      </c>
      <c r="C1449" s="20">
        <v>63</v>
      </c>
      <c r="D1449" s="21" t="s">
        <v>50</v>
      </c>
      <c r="E1449" s="21" t="s">
        <v>27</v>
      </c>
      <c r="F1449" s="20">
        <v>0.5</v>
      </c>
      <c r="G1449" s="22">
        <f>C1449*F1449</f>
        <v>31.5</v>
      </c>
    </row>
    <row r="1450" spans="1:7" ht="15" customHeight="1">
      <c r="A1450" s="19" t="s">
        <v>203</v>
      </c>
      <c r="B1450" s="20" t="s">
        <v>28</v>
      </c>
      <c r="C1450" s="20">
        <v>65</v>
      </c>
      <c r="D1450" s="21" t="s">
        <v>46</v>
      </c>
      <c r="E1450" s="21" t="s">
        <v>30</v>
      </c>
      <c r="F1450" s="20">
        <v>0.1</v>
      </c>
      <c r="G1450" s="22">
        <f>C1450*F1450</f>
        <v>6.5</v>
      </c>
    </row>
    <row r="1451" spans="1:7" ht="15" customHeight="1">
      <c r="A1451" s="19" t="s">
        <v>203</v>
      </c>
      <c r="B1451" s="20" t="s">
        <v>31</v>
      </c>
      <c r="C1451" s="20">
        <v>64</v>
      </c>
      <c r="D1451" s="21" t="s">
        <v>29</v>
      </c>
      <c r="E1451" s="21" t="s">
        <v>30</v>
      </c>
      <c r="F1451" s="20">
        <v>0.2</v>
      </c>
      <c r="G1451" s="22">
        <f>C1451*F1451</f>
        <v>12.8</v>
      </c>
    </row>
    <row r="1452" spans="1:7" ht="15" customHeight="1">
      <c r="A1452" s="19" t="s">
        <v>203</v>
      </c>
      <c r="B1452" s="20" t="s">
        <v>33</v>
      </c>
      <c r="C1452" s="20">
        <v>65</v>
      </c>
      <c r="D1452" s="21" t="s">
        <v>47</v>
      </c>
      <c r="E1452" s="21" t="s">
        <v>35</v>
      </c>
      <c r="F1452" s="20">
        <v>0.35</v>
      </c>
      <c r="G1452" s="22">
        <f>C1452*F1452</f>
        <v>22.75</v>
      </c>
    </row>
    <row r="1453" spans="1:7" ht="15" customHeight="1">
      <c r="A1453" s="19" t="s">
        <v>203</v>
      </c>
      <c r="B1453" s="20" t="s">
        <v>36</v>
      </c>
      <c r="C1453" s="20">
        <v>65</v>
      </c>
      <c r="D1453" s="21" t="s">
        <v>51</v>
      </c>
      <c r="E1453" s="21" t="s">
        <v>38</v>
      </c>
      <c r="F1453" s="20">
        <v>0.35</v>
      </c>
      <c r="G1453" s="22">
        <f>C1453*F1453</f>
        <v>22.75</v>
      </c>
    </row>
    <row r="1454" spans="1:7" ht="15" customHeight="1">
      <c r="A1454" s="19" t="s">
        <v>204</v>
      </c>
      <c r="B1454" s="20" t="s">
        <v>8</v>
      </c>
      <c r="C1454" s="20">
        <v>84</v>
      </c>
      <c r="D1454" s="21" t="s">
        <v>56</v>
      </c>
      <c r="E1454" s="21" t="s">
        <v>10</v>
      </c>
      <c r="F1454" s="20">
        <v>0.15</v>
      </c>
      <c r="G1454" s="22">
        <f>C1454*F1454</f>
        <v>12.6</v>
      </c>
    </row>
    <row r="1455" spans="1:7" ht="15" customHeight="1">
      <c r="A1455" s="19" t="s">
        <v>204</v>
      </c>
      <c r="B1455" s="20" t="s">
        <v>11</v>
      </c>
      <c r="C1455" s="20">
        <v>88</v>
      </c>
      <c r="D1455" s="21" t="s">
        <v>75</v>
      </c>
      <c r="E1455" s="21" t="s">
        <v>13</v>
      </c>
      <c r="F1455" s="20">
        <v>0.2</v>
      </c>
      <c r="G1455" s="22">
        <f>C1455*F1455</f>
        <v>17.600000000000001</v>
      </c>
    </row>
    <row r="1456" spans="1:7" ht="15" customHeight="1">
      <c r="A1456" s="19" t="s">
        <v>204</v>
      </c>
      <c r="B1456" s="20" t="s">
        <v>14</v>
      </c>
      <c r="C1456" s="20">
        <v>88</v>
      </c>
      <c r="D1456" s="21" t="s">
        <v>75</v>
      </c>
      <c r="E1456" s="21" t="s">
        <v>13</v>
      </c>
      <c r="F1456" s="20">
        <v>0.25</v>
      </c>
      <c r="G1456" s="22">
        <f>C1456*F1456</f>
        <v>22</v>
      </c>
    </row>
    <row r="1457" spans="1:7" ht="15" customHeight="1">
      <c r="A1457" s="19" t="s">
        <v>204</v>
      </c>
      <c r="B1457" s="20" t="s">
        <v>16</v>
      </c>
      <c r="C1457" s="20">
        <v>84</v>
      </c>
      <c r="D1457" s="21" t="s">
        <v>57</v>
      </c>
      <c r="E1457" s="21" t="s">
        <v>18</v>
      </c>
      <c r="F1457" s="20">
        <v>0.4</v>
      </c>
      <c r="G1457" s="22">
        <f>C1457*F1457</f>
        <v>33.6</v>
      </c>
    </row>
    <row r="1458" spans="1:7" ht="15" customHeight="1">
      <c r="A1458" s="19" t="s">
        <v>204</v>
      </c>
      <c r="B1458" s="20" t="s">
        <v>19</v>
      </c>
      <c r="C1458" s="20">
        <v>84</v>
      </c>
      <c r="D1458" s="21" t="s">
        <v>66</v>
      </c>
      <c r="E1458" s="21" t="s">
        <v>21</v>
      </c>
      <c r="F1458" s="20">
        <v>0.2</v>
      </c>
      <c r="G1458" s="22">
        <f>C1458*F1458</f>
        <v>16.8</v>
      </c>
    </row>
    <row r="1459" spans="1:7" ht="15" customHeight="1">
      <c r="A1459" s="19" t="s">
        <v>204</v>
      </c>
      <c r="B1459" s="20" t="s">
        <v>22</v>
      </c>
      <c r="C1459" s="20">
        <v>82</v>
      </c>
      <c r="D1459" s="21" t="s">
        <v>58</v>
      </c>
      <c r="E1459" s="21" t="s">
        <v>24</v>
      </c>
      <c r="F1459" s="20">
        <v>0.3</v>
      </c>
      <c r="G1459" s="22">
        <f>C1459*F1459</f>
        <v>24.599999999999998</v>
      </c>
    </row>
    <row r="1460" spans="1:7" ht="15" customHeight="1">
      <c r="A1460" s="19" t="s">
        <v>204</v>
      </c>
      <c r="B1460" s="20" t="s">
        <v>25</v>
      </c>
      <c r="C1460" s="20">
        <v>84</v>
      </c>
      <c r="D1460" s="21" t="s">
        <v>67</v>
      </c>
      <c r="E1460" s="21" t="s">
        <v>27</v>
      </c>
      <c r="F1460" s="20">
        <v>0.5</v>
      </c>
      <c r="G1460" s="22">
        <f>C1460*F1460</f>
        <v>42</v>
      </c>
    </row>
    <row r="1461" spans="1:7" ht="15" customHeight="1">
      <c r="A1461" s="19" t="s">
        <v>204</v>
      </c>
      <c r="B1461" s="20" t="s">
        <v>28</v>
      </c>
      <c r="C1461" s="20">
        <v>85</v>
      </c>
      <c r="D1461" s="21" t="s">
        <v>90</v>
      </c>
      <c r="E1461" s="21" t="s">
        <v>30</v>
      </c>
      <c r="F1461" s="20">
        <v>0.1</v>
      </c>
      <c r="G1461" s="22">
        <f>C1461*F1461</f>
        <v>8.5</v>
      </c>
    </row>
    <row r="1462" spans="1:7" ht="15" customHeight="1">
      <c r="A1462" s="19" t="s">
        <v>204</v>
      </c>
      <c r="B1462" s="20" t="s">
        <v>31</v>
      </c>
      <c r="C1462" s="20">
        <v>84</v>
      </c>
      <c r="D1462" s="21" t="s">
        <v>62</v>
      </c>
      <c r="E1462" s="21" t="s">
        <v>30</v>
      </c>
      <c r="F1462" s="20">
        <v>0.2</v>
      </c>
      <c r="G1462" s="22">
        <f>C1462*F1462</f>
        <v>16.8</v>
      </c>
    </row>
    <row r="1463" spans="1:7" ht="15" customHeight="1">
      <c r="A1463" s="19" t="s">
        <v>204</v>
      </c>
      <c r="B1463" s="20" t="s">
        <v>33</v>
      </c>
      <c r="C1463" s="20">
        <v>86</v>
      </c>
      <c r="D1463" s="21" t="s">
        <v>98</v>
      </c>
      <c r="E1463" s="21" t="s">
        <v>35</v>
      </c>
      <c r="F1463" s="20">
        <v>0.35</v>
      </c>
      <c r="G1463" s="22">
        <f>C1463*F1463</f>
        <v>30.099999999999998</v>
      </c>
    </row>
    <row r="1464" spans="1:7" ht="15" customHeight="1">
      <c r="A1464" s="19" t="s">
        <v>204</v>
      </c>
      <c r="B1464" s="20" t="s">
        <v>36</v>
      </c>
      <c r="C1464" s="20">
        <v>83</v>
      </c>
      <c r="D1464" s="21" t="s">
        <v>59</v>
      </c>
      <c r="E1464" s="21" t="s">
        <v>38</v>
      </c>
      <c r="F1464" s="20">
        <v>0.35</v>
      </c>
      <c r="G1464" s="22">
        <f>C1464*F1464</f>
        <v>29.049999999999997</v>
      </c>
    </row>
    <row r="1465" spans="1:7" ht="15" customHeight="1">
      <c r="A1465" s="19" t="s">
        <v>205</v>
      </c>
      <c r="B1465" s="20" t="s">
        <v>8</v>
      </c>
      <c r="C1465" s="20">
        <v>61</v>
      </c>
      <c r="D1465" s="21" t="s">
        <v>9</v>
      </c>
      <c r="E1465" s="21" t="s">
        <v>10</v>
      </c>
      <c r="F1465" s="20">
        <v>0.15</v>
      </c>
      <c r="G1465" s="22">
        <f>C1465*F1465</f>
        <v>9.15</v>
      </c>
    </row>
    <row r="1466" spans="1:7" ht="15" customHeight="1">
      <c r="A1466" s="19" t="s">
        <v>205</v>
      </c>
      <c r="B1466" s="20" t="s">
        <v>11</v>
      </c>
      <c r="C1466" s="20">
        <v>63</v>
      </c>
      <c r="D1466" s="21" t="s">
        <v>15</v>
      </c>
      <c r="E1466" s="21" t="s">
        <v>13</v>
      </c>
      <c r="F1466" s="20">
        <v>0.2</v>
      </c>
      <c r="G1466" s="22">
        <f>C1466*F1466</f>
        <v>12.600000000000001</v>
      </c>
    </row>
    <row r="1467" spans="1:7" ht="15" customHeight="1">
      <c r="A1467" s="19" t="s">
        <v>205</v>
      </c>
      <c r="B1467" s="20" t="s">
        <v>14</v>
      </c>
      <c r="C1467" s="20">
        <v>63</v>
      </c>
      <c r="D1467" s="21" t="s">
        <v>15</v>
      </c>
      <c r="E1467" s="21" t="s">
        <v>13</v>
      </c>
      <c r="F1467" s="20">
        <v>0.25</v>
      </c>
      <c r="G1467" s="22">
        <f>C1467*F1467</f>
        <v>15.75</v>
      </c>
    </row>
    <row r="1468" spans="1:7" ht="15" customHeight="1">
      <c r="A1468" s="19" t="s">
        <v>205</v>
      </c>
      <c r="B1468" s="20" t="s">
        <v>16</v>
      </c>
      <c r="C1468" s="20">
        <v>57</v>
      </c>
      <c r="D1468" s="21" t="s">
        <v>17</v>
      </c>
      <c r="E1468" s="21" t="s">
        <v>18</v>
      </c>
      <c r="F1468" s="20">
        <v>0.4</v>
      </c>
      <c r="G1468" s="22">
        <f>C1468*F1468</f>
        <v>22.8</v>
      </c>
    </row>
    <row r="1469" spans="1:7" ht="15" customHeight="1">
      <c r="A1469" s="19" t="s">
        <v>205</v>
      </c>
      <c r="B1469" s="20" t="s">
        <v>19</v>
      </c>
      <c r="C1469" s="20">
        <v>63</v>
      </c>
      <c r="D1469" s="21" t="s">
        <v>20</v>
      </c>
      <c r="E1469" s="21" t="s">
        <v>21</v>
      </c>
      <c r="F1469" s="20">
        <v>0.2</v>
      </c>
      <c r="G1469" s="22">
        <f>C1469*F1469</f>
        <v>12.600000000000001</v>
      </c>
    </row>
    <row r="1470" spans="1:7" ht="15" customHeight="1">
      <c r="A1470" s="19" t="s">
        <v>205</v>
      </c>
      <c r="B1470" s="20" t="s">
        <v>22</v>
      </c>
      <c r="C1470" s="20">
        <v>63</v>
      </c>
      <c r="D1470" s="21" t="s">
        <v>23</v>
      </c>
      <c r="E1470" s="21" t="s">
        <v>24</v>
      </c>
      <c r="F1470" s="20">
        <v>0.3</v>
      </c>
      <c r="G1470" s="22">
        <f>C1470*F1470</f>
        <v>18.899999999999999</v>
      </c>
    </row>
    <row r="1471" spans="1:7" ht="15" customHeight="1">
      <c r="A1471" s="19" t="s">
        <v>205</v>
      </c>
      <c r="B1471" s="20" t="s">
        <v>25</v>
      </c>
      <c r="C1471" s="20">
        <v>59</v>
      </c>
      <c r="D1471" s="21" t="s">
        <v>50</v>
      </c>
      <c r="E1471" s="21" t="s">
        <v>27</v>
      </c>
      <c r="F1471" s="20">
        <v>0.5</v>
      </c>
      <c r="G1471" s="22">
        <f>C1471*F1471</f>
        <v>29.5</v>
      </c>
    </row>
    <row r="1472" spans="1:7" ht="15" customHeight="1">
      <c r="A1472" s="19" t="s">
        <v>205</v>
      </c>
      <c r="B1472" s="20" t="s">
        <v>28</v>
      </c>
      <c r="C1472" s="20">
        <v>60</v>
      </c>
      <c r="D1472" s="21" t="s">
        <v>29</v>
      </c>
      <c r="E1472" s="21" t="s">
        <v>30</v>
      </c>
      <c r="F1472" s="20">
        <v>0.1</v>
      </c>
      <c r="G1472" s="22">
        <f>C1472*F1472</f>
        <v>6</v>
      </c>
    </row>
    <row r="1473" spans="1:7" ht="15" customHeight="1">
      <c r="A1473" s="19" t="s">
        <v>205</v>
      </c>
      <c r="B1473" s="20" t="s">
        <v>31</v>
      </c>
      <c r="C1473" s="20">
        <v>58</v>
      </c>
      <c r="D1473" s="21" t="s">
        <v>29</v>
      </c>
      <c r="E1473" s="21" t="s">
        <v>30</v>
      </c>
      <c r="F1473" s="20">
        <v>0.2</v>
      </c>
      <c r="G1473" s="22">
        <f>C1473*F1473</f>
        <v>11.600000000000001</v>
      </c>
    </row>
    <row r="1474" spans="1:7" ht="15" customHeight="1">
      <c r="A1474" s="19" t="s">
        <v>205</v>
      </c>
      <c r="B1474" s="20" t="s">
        <v>33</v>
      </c>
      <c r="C1474" s="20">
        <v>60</v>
      </c>
      <c r="D1474" s="21" t="s">
        <v>34</v>
      </c>
      <c r="E1474" s="21" t="s">
        <v>35</v>
      </c>
      <c r="F1474" s="20">
        <v>0.35</v>
      </c>
      <c r="G1474" s="22">
        <f>C1474*F1474</f>
        <v>21</v>
      </c>
    </row>
    <row r="1475" spans="1:7" ht="15" customHeight="1">
      <c r="A1475" s="19" t="s">
        <v>205</v>
      </c>
      <c r="B1475" s="20" t="s">
        <v>36</v>
      </c>
      <c r="C1475" s="20">
        <v>61</v>
      </c>
      <c r="D1475" s="21" t="s">
        <v>48</v>
      </c>
      <c r="E1475" s="21" t="s">
        <v>38</v>
      </c>
      <c r="F1475" s="20">
        <v>0.35</v>
      </c>
      <c r="G1475" s="22">
        <f>C1475*F1475</f>
        <v>21.349999999999998</v>
      </c>
    </row>
    <row r="1476" spans="1:7" ht="15" customHeight="1">
      <c r="A1476" s="19" t="s">
        <v>206</v>
      </c>
      <c r="B1476" s="20" t="s">
        <v>8</v>
      </c>
      <c r="C1476" s="20">
        <v>63</v>
      </c>
      <c r="D1476" s="21" t="s">
        <v>9</v>
      </c>
      <c r="E1476" s="21" t="s">
        <v>10</v>
      </c>
      <c r="F1476" s="20">
        <v>0.15</v>
      </c>
      <c r="G1476" s="22">
        <f>C1476*F1476</f>
        <v>9.4499999999999993</v>
      </c>
    </row>
    <row r="1477" spans="1:7" ht="15" customHeight="1">
      <c r="A1477" s="19" t="s">
        <v>206</v>
      </c>
      <c r="B1477" s="20" t="s">
        <v>11</v>
      </c>
      <c r="C1477" s="20">
        <v>59</v>
      </c>
      <c r="D1477" s="21" t="s">
        <v>15</v>
      </c>
      <c r="E1477" s="21" t="s">
        <v>13</v>
      </c>
      <c r="F1477" s="20">
        <v>0.2</v>
      </c>
      <c r="G1477" s="22">
        <f>C1477*F1477</f>
        <v>11.8</v>
      </c>
    </row>
    <row r="1478" spans="1:7" ht="15" customHeight="1">
      <c r="A1478" s="19" t="s">
        <v>206</v>
      </c>
      <c r="B1478" s="20" t="s">
        <v>14</v>
      </c>
      <c r="C1478" s="20">
        <v>63</v>
      </c>
      <c r="D1478" s="21" t="s">
        <v>15</v>
      </c>
      <c r="E1478" s="21" t="s">
        <v>13</v>
      </c>
      <c r="F1478" s="20">
        <v>0.25</v>
      </c>
      <c r="G1478" s="22">
        <f>C1478*F1478</f>
        <v>15.75</v>
      </c>
    </row>
    <row r="1479" spans="1:7" ht="15" customHeight="1">
      <c r="A1479" s="19" t="s">
        <v>206</v>
      </c>
      <c r="B1479" s="20" t="s">
        <v>16</v>
      </c>
      <c r="C1479" s="20">
        <v>63</v>
      </c>
      <c r="D1479" s="21" t="s">
        <v>17</v>
      </c>
      <c r="E1479" s="21" t="s">
        <v>18</v>
      </c>
      <c r="F1479" s="20">
        <v>0.4</v>
      </c>
      <c r="G1479" s="22">
        <f>C1479*F1479</f>
        <v>25.200000000000003</v>
      </c>
    </row>
    <row r="1480" spans="1:7" ht="15" customHeight="1">
      <c r="A1480" s="19" t="s">
        <v>206</v>
      </c>
      <c r="B1480" s="20" t="s">
        <v>19</v>
      </c>
      <c r="C1480" s="20">
        <v>58</v>
      </c>
      <c r="D1480" s="21" t="s">
        <v>20</v>
      </c>
      <c r="E1480" s="21" t="s">
        <v>21</v>
      </c>
      <c r="F1480" s="20">
        <v>0.2</v>
      </c>
      <c r="G1480" s="22">
        <f>C1480*F1480</f>
        <v>11.600000000000001</v>
      </c>
    </row>
    <row r="1481" spans="1:7" ht="15" customHeight="1">
      <c r="A1481" s="19" t="s">
        <v>206</v>
      </c>
      <c r="B1481" s="20" t="s">
        <v>22</v>
      </c>
      <c r="C1481" s="20">
        <v>55</v>
      </c>
      <c r="D1481" s="21" t="s">
        <v>23</v>
      </c>
      <c r="E1481" s="21" t="s">
        <v>24</v>
      </c>
      <c r="F1481" s="20">
        <v>0.3</v>
      </c>
      <c r="G1481" s="22">
        <f>C1481*F1481</f>
        <v>16.5</v>
      </c>
    </row>
    <row r="1482" spans="1:7" ht="15" customHeight="1">
      <c r="A1482" s="19" t="s">
        <v>206</v>
      </c>
      <c r="B1482" s="20" t="s">
        <v>25</v>
      </c>
      <c r="C1482" s="20">
        <v>54</v>
      </c>
      <c r="D1482" s="21" t="s">
        <v>50</v>
      </c>
      <c r="E1482" s="21" t="s">
        <v>27</v>
      </c>
      <c r="F1482" s="20">
        <v>0.5</v>
      </c>
      <c r="G1482" s="22">
        <f>C1482*F1482</f>
        <v>27</v>
      </c>
    </row>
    <row r="1483" spans="1:7" ht="15" customHeight="1">
      <c r="A1483" s="19" t="s">
        <v>206</v>
      </c>
      <c r="B1483" s="20" t="s">
        <v>28</v>
      </c>
      <c r="C1483" s="20">
        <v>62</v>
      </c>
      <c r="D1483" s="21" t="s">
        <v>29</v>
      </c>
      <c r="E1483" s="21" t="s">
        <v>30</v>
      </c>
      <c r="F1483" s="20">
        <v>0.1</v>
      </c>
      <c r="G1483" s="22">
        <f>C1483*F1483</f>
        <v>6.2</v>
      </c>
    </row>
    <row r="1484" spans="1:7" ht="15" customHeight="1">
      <c r="A1484" s="19" t="s">
        <v>206</v>
      </c>
      <c r="B1484" s="20" t="s">
        <v>31</v>
      </c>
      <c r="C1484" s="20">
        <v>63</v>
      </c>
      <c r="D1484" s="21" t="s">
        <v>29</v>
      </c>
      <c r="E1484" s="21" t="s">
        <v>30</v>
      </c>
      <c r="F1484" s="20">
        <v>0.2</v>
      </c>
      <c r="G1484" s="22">
        <f>C1484*F1484</f>
        <v>12.600000000000001</v>
      </c>
    </row>
    <row r="1485" spans="1:7" ht="15" customHeight="1">
      <c r="A1485" s="19" t="s">
        <v>206</v>
      </c>
      <c r="B1485" s="20" t="s">
        <v>33</v>
      </c>
      <c r="C1485" s="20">
        <v>57</v>
      </c>
      <c r="D1485" s="21" t="s">
        <v>34</v>
      </c>
      <c r="E1485" s="21" t="s">
        <v>35</v>
      </c>
      <c r="F1485" s="20">
        <v>0.35</v>
      </c>
      <c r="G1485" s="22">
        <f>C1485*F1485</f>
        <v>19.95</v>
      </c>
    </row>
    <row r="1486" spans="1:7" ht="15" customHeight="1">
      <c r="A1486" s="19" t="s">
        <v>206</v>
      </c>
      <c r="B1486" s="20" t="s">
        <v>36</v>
      </c>
      <c r="C1486" s="20">
        <v>59</v>
      </c>
      <c r="D1486" s="21" t="s">
        <v>48</v>
      </c>
      <c r="E1486" s="21" t="s">
        <v>38</v>
      </c>
      <c r="F1486" s="20">
        <v>0.35</v>
      </c>
      <c r="G1486" s="22">
        <f>C1486*F1486</f>
        <v>20.65</v>
      </c>
    </row>
    <row r="1487" spans="1:7" ht="15" customHeight="1">
      <c r="A1487" s="19" t="s">
        <v>207</v>
      </c>
      <c r="B1487" s="20" t="s">
        <v>8</v>
      </c>
      <c r="C1487" s="20">
        <v>48</v>
      </c>
      <c r="D1487" s="21" t="s">
        <v>132</v>
      </c>
      <c r="E1487" s="21" t="s">
        <v>10</v>
      </c>
      <c r="F1487" s="20">
        <v>0.15</v>
      </c>
      <c r="G1487" s="22">
        <f>C1487*F1487</f>
        <v>7.1999999999999993</v>
      </c>
    </row>
    <row r="1488" spans="1:7" ht="15" customHeight="1">
      <c r="A1488" s="19" t="s">
        <v>207</v>
      </c>
      <c r="B1488" s="20" t="s">
        <v>11</v>
      </c>
      <c r="C1488" s="20">
        <v>47</v>
      </c>
      <c r="D1488" s="21" t="s">
        <v>12</v>
      </c>
      <c r="E1488" s="21" t="s">
        <v>13</v>
      </c>
      <c r="F1488" s="20">
        <v>0.2</v>
      </c>
      <c r="G1488" s="22">
        <f>C1488*F1488</f>
        <v>9.4</v>
      </c>
    </row>
    <row r="1489" spans="1:7" ht="15" customHeight="1">
      <c r="A1489" s="19" t="s">
        <v>207</v>
      </c>
      <c r="B1489" s="20" t="s">
        <v>14</v>
      </c>
      <c r="C1489" s="20">
        <v>47</v>
      </c>
      <c r="D1489" s="21" t="s">
        <v>12</v>
      </c>
      <c r="E1489" s="21" t="s">
        <v>13</v>
      </c>
      <c r="F1489" s="20">
        <v>0.25</v>
      </c>
      <c r="G1489" s="22">
        <f>C1489*F1489</f>
        <v>11.75</v>
      </c>
    </row>
    <row r="1490" spans="1:7" ht="15" customHeight="1">
      <c r="A1490" s="19" t="s">
        <v>207</v>
      </c>
      <c r="B1490" s="20" t="s">
        <v>16</v>
      </c>
      <c r="C1490" s="20">
        <v>49</v>
      </c>
      <c r="D1490" s="21" t="s">
        <v>124</v>
      </c>
      <c r="E1490" s="21" t="s">
        <v>18</v>
      </c>
      <c r="F1490" s="20">
        <v>0.4</v>
      </c>
      <c r="G1490" s="22">
        <f>C1490*F1490</f>
        <v>19.600000000000001</v>
      </c>
    </row>
    <row r="1491" spans="1:7" ht="15" customHeight="1">
      <c r="A1491" s="19" t="s">
        <v>207</v>
      </c>
      <c r="B1491" s="20" t="s">
        <v>19</v>
      </c>
      <c r="C1491" s="20">
        <v>52</v>
      </c>
      <c r="D1491" s="21" t="s">
        <v>20</v>
      </c>
      <c r="E1491" s="21" t="s">
        <v>21</v>
      </c>
      <c r="F1491" s="20">
        <v>0.2</v>
      </c>
      <c r="G1491" s="22">
        <f>C1491*F1491</f>
        <v>10.4</v>
      </c>
    </row>
    <row r="1492" spans="1:7" ht="15" customHeight="1">
      <c r="A1492" s="19" t="s">
        <v>207</v>
      </c>
      <c r="B1492" s="20" t="s">
        <v>22</v>
      </c>
      <c r="C1492" s="20">
        <v>49</v>
      </c>
      <c r="D1492" s="21" t="s">
        <v>54</v>
      </c>
      <c r="E1492" s="21" t="s">
        <v>24</v>
      </c>
      <c r="F1492" s="20">
        <v>0.3</v>
      </c>
      <c r="G1492" s="22">
        <f>C1492*F1492</f>
        <v>14.7</v>
      </c>
    </row>
    <row r="1493" spans="1:7" ht="15" customHeight="1">
      <c r="A1493" s="19" t="s">
        <v>207</v>
      </c>
      <c r="B1493" s="20" t="s">
        <v>25</v>
      </c>
      <c r="C1493" s="20">
        <v>47</v>
      </c>
      <c r="D1493" s="21" t="s">
        <v>26</v>
      </c>
      <c r="E1493" s="21" t="s">
        <v>27</v>
      </c>
      <c r="F1493" s="20">
        <v>0.5</v>
      </c>
      <c r="G1493" s="22">
        <f>C1493*F1493</f>
        <v>23.5</v>
      </c>
    </row>
    <row r="1494" spans="1:7" ht="15" customHeight="1">
      <c r="A1494" s="19" t="s">
        <v>207</v>
      </c>
      <c r="B1494" s="20" t="s">
        <v>28</v>
      </c>
      <c r="C1494" s="20">
        <v>48</v>
      </c>
      <c r="D1494" s="21" t="s">
        <v>32</v>
      </c>
      <c r="E1494" s="21" t="s">
        <v>30</v>
      </c>
      <c r="F1494" s="20">
        <v>0.1</v>
      </c>
      <c r="G1494" s="22">
        <f>C1494*F1494</f>
        <v>4.8000000000000007</v>
      </c>
    </row>
    <row r="1495" spans="1:7" ht="15" customHeight="1">
      <c r="A1495" s="19" t="s">
        <v>207</v>
      </c>
      <c r="B1495" s="20" t="s">
        <v>31</v>
      </c>
      <c r="C1495" s="20">
        <v>48</v>
      </c>
      <c r="D1495" s="21" t="s">
        <v>32</v>
      </c>
      <c r="E1495" s="21" t="s">
        <v>30</v>
      </c>
      <c r="F1495" s="20">
        <v>0.2</v>
      </c>
      <c r="G1495" s="22">
        <f>C1495*F1495</f>
        <v>9.6000000000000014</v>
      </c>
    </row>
    <row r="1496" spans="1:7" ht="15" customHeight="1">
      <c r="A1496" s="19" t="s">
        <v>207</v>
      </c>
      <c r="B1496" s="20" t="s">
        <v>33</v>
      </c>
      <c r="C1496" s="20">
        <v>45</v>
      </c>
      <c r="D1496" s="21" t="s">
        <v>118</v>
      </c>
      <c r="E1496" s="21" t="s">
        <v>35</v>
      </c>
      <c r="F1496" s="20">
        <v>0.35</v>
      </c>
      <c r="G1496" s="22">
        <f>C1496*F1496</f>
        <v>15.749999999999998</v>
      </c>
    </row>
    <row r="1497" spans="1:7" ht="15" customHeight="1">
      <c r="A1497" s="19" t="s">
        <v>207</v>
      </c>
      <c r="B1497" s="20" t="s">
        <v>36</v>
      </c>
      <c r="C1497" s="20">
        <v>46</v>
      </c>
      <c r="D1497" s="21" t="s">
        <v>37</v>
      </c>
      <c r="E1497" s="21" t="s">
        <v>38</v>
      </c>
      <c r="F1497" s="20">
        <v>0.35</v>
      </c>
      <c r="G1497" s="22">
        <f>C1497*F1497</f>
        <v>16.099999999999998</v>
      </c>
    </row>
    <row r="1498" spans="1:7" ht="15" customHeight="1">
      <c r="A1498" s="19" t="s">
        <v>208</v>
      </c>
      <c r="B1498" s="20" t="s">
        <v>8</v>
      </c>
      <c r="C1498" s="20">
        <v>90</v>
      </c>
      <c r="D1498" s="21" t="s">
        <v>74</v>
      </c>
      <c r="E1498" s="21" t="s">
        <v>10</v>
      </c>
      <c r="F1498" s="20">
        <v>0.15</v>
      </c>
      <c r="G1498" s="22">
        <f>C1498*F1498</f>
        <v>13.5</v>
      </c>
    </row>
    <row r="1499" spans="1:7" ht="15" customHeight="1">
      <c r="A1499" s="19" t="s">
        <v>208</v>
      </c>
      <c r="B1499" s="20" t="s">
        <v>11</v>
      </c>
      <c r="C1499" s="20">
        <v>91</v>
      </c>
      <c r="D1499" s="21" t="s">
        <v>75</v>
      </c>
      <c r="E1499" s="21" t="s">
        <v>13</v>
      </c>
      <c r="F1499" s="20">
        <v>0.2</v>
      </c>
      <c r="G1499" s="22">
        <f>C1499*F1499</f>
        <v>18.2</v>
      </c>
    </row>
    <row r="1500" spans="1:7" ht="15" customHeight="1">
      <c r="A1500" s="19" t="s">
        <v>208</v>
      </c>
      <c r="B1500" s="20" t="s">
        <v>14</v>
      </c>
      <c r="C1500" s="20">
        <v>94</v>
      </c>
      <c r="D1500" s="21" t="s">
        <v>75</v>
      </c>
      <c r="E1500" s="21" t="s">
        <v>13</v>
      </c>
      <c r="F1500" s="20">
        <v>0.25</v>
      </c>
      <c r="G1500" s="22">
        <f>C1500*F1500</f>
        <v>23.5</v>
      </c>
    </row>
    <row r="1501" spans="1:7" ht="15" customHeight="1">
      <c r="A1501" s="19" t="s">
        <v>208</v>
      </c>
      <c r="B1501" s="20" t="s">
        <v>16</v>
      </c>
      <c r="C1501" s="20">
        <v>90</v>
      </c>
      <c r="D1501" s="21" t="s">
        <v>76</v>
      </c>
      <c r="E1501" s="21" t="s">
        <v>18</v>
      </c>
      <c r="F1501" s="20">
        <v>0.4</v>
      </c>
      <c r="G1501" s="22">
        <f>C1501*F1501</f>
        <v>36</v>
      </c>
    </row>
    <row r="1502" spans="1:7" ht="15" customHeight="1">
      <c r="A1502" s="19" t="s">
        <v>208</v>
      </c>
      <c r="B1502" s="20" t="s">
        <v>19</v>
      </c>
      <c r="C1502" s="20">
        <v>87</v>
      </c>
      <c r="D1502" s="21" t="s">
        <v>88</v>
      </c>
      <c r="E1502" s="21" t="s">
        <v>21</v>
      </c>
      <c r="F1502" s="20">
        <v>0.2</v>
      </c>
      <c r="G1502" s="22">
        <f>C1502*F1502</f>
        <v>17.400000000000002</v>
      </c>
    </row>
    <row r="1503" spans="1:7" ht="15" customHeight="1">
      <c r="A1503" s="19" t="s">
        <v>208</v>
      </c>
      <c r="B1503" s="20" t="s">
        <v>22</v>
      </c>
      <c r="C1503" s="20">
        <v>90</v>
      </c>
      <c r="D1503" s="21" t="s">
        <v>97</v>
      </c>
      <c r="E1503" s="21" t="s">
        <v>24</v>
      </c>
      <c r="F1503" s="20">
        <v>0.3</v>
      </c>
      <c r="G1503" s="22">
        <f>C1503*F1503</f>
        <v>27</v>
      </c>
    </row>
    <row r="1504" spans="1:7" ht="15" customHeight="1">
      <c r="A1504" s="19" t="s">
        <v>208</v>
      </c>
      <c r="B1504" s="20" t="s">
        <v>25</v>
      </c>
      <c r="C1504" s="20">
        <v>88</v>
      </c>
      <c r="D1504" s="21" t="s">
        <v>89</v>
      </c>
      <c r="E1504" s="21" t="s">
        <v>27</v>
      </c>
      <c r="F1504" s="20">
        <v>0.5</v>
      </c>
      <c r="G1504" s="22">
        <f>C1504*F1504</f>
        <v>44</v>
      </c>
    </row>
    <row r="1505" spans="1:7" ht="15" customHeight="1">
      <c r="A1505" s="19" t="s">
        <v>208</v>
      </c>
      <c r="B1505" s="20" t="s">
        <v>28</v>
      </c>
      <c r="C1505" s="20">
        <v>94</v>
      </c>
      <c r="D1505" s="21" t="s">
        <v>90</v>
      </c>
      <c r="E1505" s="21" t="s">
        <v>30</v>
      </c>
      <c r="F1505" s="20">
        <v>0.1</v>
      </c>
      <c r="G1505" s="22">
        <f>C1505*F1505</f>
        <v>9.4</v>
      </c>
    </row>
    <row r="1506" spans="1:7" ht="15" customHeight="1">
      <c r="A1506" s="19" t="s">
        <v>208</v>
      </c>
      <c r="B1506" s="20" t="s">
        <v>31</v>
      </c>
      <c r="C1506" s="20">
        <v>94</v>
      </c>
      <c r="D1506" s="21" t="s">
        <v>90</v>
      </c>
      <c r="E1506" s="21" t="s">
        <v>30</v>
      </c>
      <c r="F1506" s="20">
        <v>0.2</v>
      </c>
      <c r="G1506" s="22">
        <f>C1506*F1506</f>
        <v>18.8</v>
      </c>
    </row>
    <row r="1507" spans="1:7" ht="15" customHeight="1">
      <c r="A1507" s="19" t="s">
        <v>208</v>
      </c>
      <c r="B1507" s="20" t="s">
        <v>33</v>
      </c>
      <c r="C1507" s="20">
        <v>90</v>
      </c>
      <c r="D1507" s="21" t="s">
        <v>98</v>
      </c>
      <c r="E1507" s="21" t="s">
        <v>35</v>
      </c>
      <c r="F1507" s="20">
        <v>0.35</v>
      </c>
      <c r="G1507" s="22">
        <f>C1507*F1507</f>
        <v>31.499999999999996</v>
      </c>
    </row>
    <row r="1508" spans="1:7" ht="15" customHeight="1">
      <c r="A1508" s="19" t="s">
        <v>208</v>
      </c>
      <c r="B1508" s="20" t="s">
        <v>36</v>
      </c>
      <c r="C1508" s="20">
        <v>90</v>
      </c>
      <c r="D1508" s="21" t="s">
        <v>111</v>
      </c>
      <c r="E1508" s="21" t="s">
        <v>38</v>
      </c>
      <c r="F1508" s="20">
        <v>0.35</v>
      </c>
      <c r="G1508" s="22">
        <f>C1508*F1508</f>
        <v>31.499999999999996</v>
      </c>
    </row>
    <row r="1509" spans="1:7" ht="15" customHeight="1">
      <c r="A1509" s="19" t="s">
        <v>209</v>
      </c>
      <c r="B1509" s="20" t="s">
        <v>8</v>
      </c>
      <c r="C1509" s="20">
        <v>72</v>
      </c>
      <c r="D1509" s="21" t="s">
        <v>40</v>
      </c>
      <c r="E1509" s="21" t="s">
        <v>10</v>
      </c>
      <c r="F1509" s="20">
        <v>0.15</v>
      </c>
      <c r="G1509" s="22">
        <f>C1509*F1509</f>
        <v>10.799999999999999</v>
      </c>
    </row>
    <row r="1510" spans="1:7" ht="15" customHeight="1">
      <c r="A1510" s="19" t="s">
        <v>209</v>
      </c>
      <c r="B1510" s="20" t="s">
        <v>11</v>
      </c>
      <c r="C1510" s="20">
        <v>71</v>
      </c>
      <c r="D1510" s="21" t="s">
        <v>41</v>
      </c>
      <c r="E1510" s="21" t="s">
        <v>13</v>
      </c>
      <c r="F1510" s="20">
        <v>0.2</v>
      </c>
      <c r="G1510" s="22">
        <f>C1510*F1510</f>
        <v>14.200000000000001</v>
      </c>
    </row>
    <row r="1511" spans="1:7" ht="15" customHeight="1">
      <c r="A1511" s="19" t="s">
        <v>209</v>
      </c>
      <c r="B1511" s="20" t="s">
        <v>14</v>
      </c>
      <c r="C1511" s="20">
        <v>74</v>
      </c>
      <c r="D1511" s="21" t="s">
        <v>41</v>
      </c>
      <c r="E1511" s="21" t="s">
        <v>13</v>
      </c>
      <c r="F1511" s="20">
        <v>0.25</v>
      </c>
      <c r="G1511" s="22">
        <f>C1511*F1511</f>
        <v>18.5</v>
      </c>
    </row>
    <row r="1512" spans="1:7" ht="15" customHeight="1">
      <c r="A1512" s="19" t="s">
        <v>209</v>
      </c>
      <c r="B1512" s="20" t="s">
        <v>16</v>
      </c>
      <c r="C1512" s="20">
        <v>70</v>
      </c>
      <c r="D1512" s="21" t="s">
        <v>42</v>
      </c>
      <c r="E1512" s="21" t="s">
        <v>18</v>
      </c>
      <c r="F1512" s="20">
        <v>0.4</v>
      </c>
      <c r="G1512" s="22">
        <f>C1512*F1512</f>
        <v>28</v>
      </c>
    </row>
    <row r="1513" spans="1:7" ht="15" customHeight="1">
      <c r="A1513" s="19" t="s">
        <v>209</v>
      </c>
      <c r="B1513" s="20" t="s">
        <v>19</v>
      </c>
      <c r="C1513" s="20">
        <v>67</v>
      </c>
      <c r="D1513" s="21" t="s">
        <v>43</v>
      </c>
      <c r="E1513" s="21" t="s">
        <v>21</v>
      </c>
      <c r="F1513" s="20">
        <v>0.2</v>
      </c>
      <c r="G1513" s="22">
        <f>C1513*F1513</f>
        <v>13.4</v>
      </c>
    </row>
    <row r="1514" spans="1:7" ht="15" customHeight="1">
      <c r="A1514" s="19" t="s">
        <v>209</v>
      </c>
      <c r="B1514" s="20" t="s">
        <v>22</v>
      </c>
      <c r="C1514" s="20">
        <v>66</v>
      </c>
      <c r="D1514" s="21" t="s">
        <v>44</v>
      </c>
      <c r="E1514" s="21" t="s">
        <v>24</v>
      </c>
      <c r="F1514" s="20">
        <v>0.3</v>
      </c>
      <c r="G1514" s="22">
        <f>C1514*F1514</f>
        <v>19.8</v>
      </c>
    </row>
    <row r="1515" spans="1:7" ht="15" customHeight="1">
      <c r="A1515" s="19" t="s">
        <v>209</v>
      </c>
      <c r="B1515" s="20" t="s">
        <v>25</v>
      </c>
      <c r="C1515" s="20">
        <v>65</v>
      </c>
      <c r="D1515" s="21" t="s">
        <v>45</v>
      </c>
      <c r="E1515" s="21" t="s">
        <v>27</v>
      </c>
      <c r="F1515" s="20">
        <v>0.5</v>
      </c>
      <c r="G1515" s="22">
        <f>C1515*F1515</f>
        <v>32.5</v>
      </c>
    </row>
    <row r="1516" spans="1:7" ht="15" customHeight="1">
      <c r="A1516" s="19" t="s">
        <v>209</v>
      </c>
      <c r="B1516" s="20" t="s">
        <v>28</v>
      </c>
      <c r="C1516" s="20">
        <v>69</v>
      </c>
      <c r="D1516" s="21" t="s">
        <v>46</v>
      </c>
      <c r="E1516" s="21" t="s">
        <v>30</v>
      </c>
      <c r="F1516" s="20">
        <v>0.1</v>
      </c>
      <c r="G1516" s="22">
        <f>C1516*F1516</f>
        <v>6.9</v>
      </c>
    </row>
    <row r="1517" spans="1:7" ht="15" customHeight="1">
      <c r="A1517" s="19" t="s">
        <v>209</v>
      </c>
      <c r="B1517" s="20" t="s">
        <v>31</v>
      </c>
      <c r="C1517" s="20">
        <v>71</v>
      </c>
      <c r="D1517" s="21" t="s">
        <v>46</v>
      </c>
      <c r="E1517" s="21" t="s">
        <v>30</v>
      </c>
      <c r="F1517" s="20">
        <v>0.2</v>
      </c>
      <c r="G1517" s="22">
        <f>C1517*F1517</f>
        <v>14.200000000000001</v>
      </c>
    </row>
    <row r="1518" spans="1:7" ht="15" customHeight="1">
      <c r="A1518" s="19" t="s">
        <v>209</v>
      </c>
      <c r="B1518" s="20" t="s">
        <v>33</v>
      </c>
      <c r="C1518" s="20">
        <v>66</v>
      </c>
      <c r="D1518" s="21" t="s">
        <v>47</v>
      </c>
      <c r="E1518" s="21" t="s">
        <v>35</v>
      </c>
      <c r="F1518" s="20">
        <v>0.35</v>
      </c>
      <c r="G1518" s="22">
        <f>C1518*F1518</f>
        <v>23.099999999999998</v>
      </c>
    </row>
    <row r="1519" spans="1:7" ht="15" customHeight="1">
      <c r="A1519" s="19" t="s">
        <v>209</v>
      </c>
      <c r="B1519" s="20" t="s">
        <v>36</v>
      </c>
      <c r="C1519" s="20">
        <v>70</v>
      </c>
      <c r="D1519" s="21" t="s">
        <v>51</v>
      </c>
      <c r="E1519" s="21" t="s">
        <v>38</v>
      </c>
      <c r="F1519" s="20">
        <v>0.35</v>
      </c>
      <c r="G1519" s="22">
        <f>C1519*F1519</f>
        <v>24.5</v>
      </c>
    </row>
    <row r="1520" spans="1:7" ht="15" customHeight="1">
      <c r="A1520" s="19" t="s">
        <v>210</v>
      </c>
      <c r="B1520" s="20" t="s">
        <v>8</v>
      </c>
      <c r="C1520" s="20">
        <v>59</v>
      </c>
      <c r="D1520" s="21" t="s">
        <v>9</v>
      </c>
      <c r="E1520" s="21" t="s">
        <v>10</v>
      </c>
      <c r="F1520" s="20">
        <v>0.15</v>
      </c>
      <c r="G1520" s="22">
        <f>C1520*F1520</f>
        <v>8.85</v>
      </c>
    </row>
    <row r="1521" spans="1:7" ht="15" customHeight="1">
      <c r="A1521" s="19" t="s">
        <v>210</v>
      </c>
      <c r="B1521" s="20" t="s">
        <v>11</v>
      </c>
      <c r="C1521" s="20">
        <v>62</v>
      </c>
      <c r="D1521" s="21" t="s">
        <v>15</v>
      </c>
      <c r="E1521" s="21" t="s">
        <v>13</v>
      </c>
      <c r="F1521" s="20">
        <v>0.2</v>
      </c>
      <c r="G1521" s="22">
        <f>C1521*F1521</f>
        <v>12.4</v>
      </c>
    </row>
    <row r="1522" spans="1:7" ht="15" customHeight="1">
      <c r="A1522" s="19" t="s">
        <v>210</v>
      </c>
      <c r="B1522" s="20" t="s">
        <v>14</v>
      </c>
      <c r="C1522" s="20">
        <v>62</v>
      </c>
      <c r="D1522" s="21" t="s">
        <v>15</v>
      </c>
      <c r="E1522" s="21" t="s">
        <v>13</v>
      </c>
      <c r="F1522" s="20">
        <v>0.25</v>
      </c>
      <c r="G1522" s="22">
        <f>C1522*F1522</f>
        <v>15.5</v>
      </c>
    </row>
    <row r="1523" spans="1:7" ht="15" customHeight="1">
      <c r="A1523" s="19" t="s">
        <v>210</v>
      </c>
      <c r="B1523" s="20" t="s">
        <v>16</v>
      </c>
      <c r="C1523" s="20">
        <v>59</v>
      </c>
      <c r="D1523" s="21" t="s">
        <v>17</v>
      </c>
      <c r="E1523" s="21" t="s">
        <v>18</v>
      </c>
      <c r="F1523" s="20">
        <v>0.4</v>
      </c>
      <c r="G1523" s="22">
        <f>C1523*F1523</f>
        <v>23.6</v>
      </c>
    </row>
    <row r="1524" spans="1:7" ht="15" customHeight="1">
      <c r="A1524" s="19" t="s">
        <v>210</v>
      </c>
      <c r="B1524" s="20" t="s">
        <v>19</v>
      </c>
      <c r="C1524" s="20">
        <v>61</v>
      </c>
      <c r="D1524" s="21" t="s">
        <v>20</v>
      </c>
      <c r="E1524" s="21" t="s">
        <v>21</v>
      </c>
      <c r="F1524" s="20">
        <v>0.2</v>
      </c>
      <c r="G1524" s="22">
        <f>C1524*F1524</f>
        <v>12.200000000000001</v>
      </c>
    </row>
    <row r="1525" spans="1:7" ht="15" customHeight="1">
      <c r="A1525" s="19" t="s">
        <v>210</v>
      </c>
      <c r="B1525" s="20" t="s">
        <v>22</v>
      </c>
      <c r="C1525" s="20">
        <v>61</v>
      </c>
      <c r="D1525" s="21" t="s">
        <v>23</v>
      </c>
      <c r="E1525" s="21" t="s">
        <v>24</v>
      </c>
      <c r="F1525" s="20">
        <v>0.3</v>
      </c>
      <c r="G1525" s="22">
        <f>C1525*F1525</f>
        <v>18.3</v>
      </c>
    </row>
    <row r="1526" spans="1:7" ht="15" customHeight="1">
      <c r="A1526" s="19" t="s">
        <v>210</v>
      </c>
      <c r="B1526" s="20" t="s">
        <v>25</v>
      </c>
      <c r="C1526" s="20">
        <v>59</v>
      </c>
      <c r="D1526" s="21" t="s">
        <v>50</v>
      </c>
      <c r="E1526" s="21" t="s">
        <v>27</v>
      </c>
      <c r="F1526" s="20">
        <v>0.5</v>
      </c>
      <c r="G1526" s="22">
        <f>C1526*F1526</f>
        <v>29.5</v>
      </c>
    </row>
    <row r="1527" spans="1:7" ht="15" customHeight="1">
      <c r="A1527" s="19" t="s">
        <v>210</v>
      </c>
      <c r="B1527" s="20" t="s">
        <v>28</v>
      </c>
      <c r="C1527" s="20">
        <v>61</v>
      </c>
      <c r="D1527" s="21" t="s">
        <v>29</v>
      </c>
      <c r="E1527" s="21" t="s">
        <v>30</v>
      </c>
      <c r="F1527" s="20">
        <v>0.1</v>
      </c>
      <c r="G1527" s="22">
        <f>C1527*F1527</f>
        <v>6.1000000000000005</v>
      </c>
    </row>
    <row r="1528" spans="1:7" ht="15" customHeight="1">
      <c r="A1528" s="19" t="s">
        <v>210</v>
      </c>
      <c r="B1528" s="20" t="s">
        <v>31</v>
      </c>
      <c r="C1528" s="20">
        <v>63</v>
      </c>
      <c r="D1528" s="21" t="s">
        <v>29</v>
      </c>
      <c r="E1528" s="21" t="s">
        <v>30</v>
      </c>
      <c r="F1528" s="20">
        <v>0.2</v>
      </c>
      <c r="G1528" s="22">
        <f>C1528*F1528</f>
        <v>12.600000000000001</v>
      </c>
    </row>
    <row r="1529" spans="1:7" ht="15" customHeight="1">
      <c r="A1529" s="19" t="s">
        <v>210</v>
      </c>
      <c r="B1529" s="20" t="s">
        <v>33</v>
      </c>
      <c r="C1529" s="20">
        <v>62</v>
      </c>
      <c r="D1529" s="21" t="s">
        <v>34</v>
      </c>
      <c r="E1529" s="21" t="s">
        <v>35</v>
      </c>
      <c r="F1529" s="20">
        <v>0.35</v>
      </c>
      <c r="G1529" s="22">
        <f>C1529*F1529</f>
        <v>21.7</v>
      </c>
    </row>
    <row r="1530" spans="1:7" ht="15" customHeight="1">
      <c r="A1530" s="19" t="s">
        <v>210</v>
      </c>
      <c r="B1530" s="20" t="s">
        <v>36</v>
      </c>
      <c r="C1530" s="20">
        <v>65</v>
      </c>
      <c r="D1530" s="21" t="s">
        <v>51</v>
      </c>
      <c r="E1530" s="21" t="s">
        <v>38</v>
      </c>
      <c r="F1530" s="20">
        <v>0.35</v>
      </c>
      <c r="G1530" s="22">
        <f>C1530*F1530</f>
        <v>22.75</v>
      </c>
    </row>
    <row r="1531" spans="1:7" ht="15" customHeight="1">
      <c r="A1531" s="19" t="s">
        <v>211</v>
      </c>
      <c r="B1531" s="20" t="s">
        <v>8</v>
      </c>
      <c r="C1531" s="20">
        <v>53</v>
      </c>
      <c r="D1531" s="21" t="s">
        <v>9</v>
      </c>
      <c r="E1531" s="21" t="s">
        <v>10</v>
      </c>
      <c r="F1531" s="20">
        <v>0.15</v>
      </c>
      <c r="G1531" s="22">
        <f>C1531*F1531</f>
        <v>7.9499999999999993</v>
      </c>
    </row>
    <row r="1532" spans="1:7" ht="15" customHeight="1">
      <c r="A1532" s="19" t="s">
        <v>211</v>
      </c>
      <c r="B1532" s="20" t="s">
        <v>11</v>
      </c>
      <c r="C1532" s="20">
        <v>56</v>
      </c>
      <c r="D1532" s="21" t="s">
        <v>15</v>
      </c>
      <c r="E1532" s="21" t="s">
        <v>13</v>
      </c>
      <c r="F1532" s="20">
        <v>0.2</v>
      </c>
      <c r="G1532" s="22">
        <f>C1532*F1532</f>
        <v>11.200000000000001</v>
      </c>
    </row>
    <row r="1533" spans="1:7" ht="15" customHeight="1">
      <c r="A1533" s="19" t="s">
        <v>211</v>
      </c>
      <c r="B1533" s="20" t="s">
        <v>14</v>
      </c>
      <c r="C1533" s="20">
        <v>57</v>
      </c>
      <c r="D1533" s="21" t="s">
        <v>15</v>
      </c>
      <c r="E1533" s="21" t="s">
        <v>13</v>
      </c>
      <c r="F1533" s="20">
        <v>0.25</v>
      </c>
      <c r="G1533" s="22">
        <f>C1533*F1533</f>
        <v>14.25</v>
      </c>
    </row>
    <row r="1534" spans="1:7" ht="15" customHeight="1">
      <c r="A1534" s="19" t="s">
        <v>211</v>
      </c>
      <c r="B1534" s="20" t="s">
        <v>16</v>
      </c>
      <c r="C1534" s="20">
        <v>54</v>
      </c>
      <c r="D1534" s="21" t="s">
        <v>17</v>
      </c>
      <c r="E1534" s="21" t="s">
        <v>18</v>
      </c>
      <c r="F1534" s="20">
        <v>0.4</v>
      </c>
      <c r="G1534" s="22">
        <f>C1534*F1534</f>
        <v>21.6</v>
      </c>
    </row>
    <row r="1535" spans="1:7" ht="15" customHeight="1">
      <c r="A1535" s="19" t="s">
        <v>211</v>
      </c>
      <c r="B1535" s="20" t="s">
        <v>19</v>
      </c>
      <c r="C1535" s="20">
        <v>55</v>
      </c>
      <c r="D1535" s="21" t="s">
        <v>20</v>
      </c>
      <c r="E1535" s="21" t="s">
        <v>21</v>
      </c>
      <c r="F1535" s="20">
        <v>0.2</v>
      </c>
      <c r="G1535" s="22">
        <f>C1535*F1535</f>
        <v>11</v>
      </c>
    </row>
    <row r="1536" spans="1:7" ht="15" customHeight="1">
      <c r="A1536" s="19" t="s">
        <v>211</v>
      </c>
      <c r="B1536" s="20" t="s">
        <v>22</v>
      </c>
      <c r="C1536" s="20">
        <v>53</v>
      </c>
      <c r="D1536" s="21" t="s">
        <v>23</v>
      </c>
      <c r="E1536" s="21" t="s">
        <v>24</v>
      </c>
      <c r="F1536" s="20">
        <v>0.3</v>
      </c>
      <c r="G1536" s="22">
        <f>C1536*F1536</f>
        <v>15.899999999999999</v>
      </c>
    </row>
    <row r="1537" spans="1:7" ht="15" customHeight="1">
      <c r="A1537" s="19" t="s">
        <v>211</v>
      </c>
      <c r="B1537" s="20" t="s">
        <v>25</v>
      </c>
      <c r="C1537" s="20">
        <v>56</v>
      </c>
      <c r="D1537" s="21" t="s">
        <v>50</v>
      </c>
      <c r="E1537" s="21" t="s">
        <v>27</v>
      </c>
      <c r="F1537" s="20">
        <v>0.5</v>
      </c>
      <c r="G1537" s="22">
        <f>C1537*F1537</f>
        <v>28</v>
      </c>
    </row>
    <row r="1538" spans="1:7" ht="15" customHeight="1">
      <c r="A1538" s="19" t="s">
        <v>211</v>
      </c>
      <c r="B1538" s="20" t="s">
        <v>28</v>
      </c>
      <c r="C1538" s="20">
        <v>57</v>
      </c>
      <c r="D1538" s="21" t="s">
        <v>29</v>
      </c>
      <c r="E1538" s="21" t="s">
        <v>30</v>
      </c>
      <c r="F1538" s="20">
        <v>0.1</v>
      </c>
      <c r="G1538" s="22">
        <f>C1538*F1538</f>
        <v>5.7</v>
      </c>
    </row>
    <row r="1539" spans="1:7" ht="15" customHeight="1">
      <c r="A1539" s="19" t="s">
        <v>211</v>
      </c>
      <c r="B1539" s="20" t="s">
        <v>31</v>
      </c>
      <c r="C1539" s="20">
        <v>56</v>
      </c>
      <c r="D1539" s="21" t="s">
        <v>29</v>
      </c>
      <c r="E1539" s="21" t="s">
        <v>30</v>
      </c>
      <c r="F1539" s="20">
        <v>0.2</v>
      </c>
      <c r="G1539" s="22">
        <f>C1539*F1539</f>
        <v>11.200000000000001</v>
      </c>
    </row>
    <row r="1540" spans="1:7" ht="15" customHeight="1">
      <c r="A1540" s="19" t="s">
        <v>211</v>
      </c>
      <c r="B1540" s="20" t="s">
        <v>33</v>
      </c>
      <c r="C1540" s="20">
        <v>59</v>
      </c>
      <c r="D1540" s="21" t="s">
        <v>34</v>
      </c>
      <c r="E1540" s="21" t="s">
        <v>35</v>
      </c>
      <c r="F1540" s="20">
        <v>0.35</v>
      </c>
      <c r="G1540" s="22">
        <f>C1540*F1540</f>
        <v>20.65</v>
      </c>
    </row>
    <row r="1541" spans="1:7" ht="15" customHeight="1">
      <c r="A1541" s="19" t="s">
        <v>211</v>
      </c>
      <c r="B1541" s="20" t="s">
        <v>36</v>
      </c>
      <c r="C1541" s="20">
        <v>59</v>
      </c>
      <c r="D1541" s="21" t="s">
        <v>48</v>
      </c>
      <c r="E1541" s="21" t="s">
        <v>38</v>
      </c>
      <c r="F1541" s="20">
        <v>0.35</v>
      </c>
      <c r="G1541" s="22">
        <f>C1541*F1541</f>
        <v>20.65</v>
      </c>
    </row>
    <row r="1542" spans="1:7" ht="15" customHeight="1">
      <c r="A1542" s="19" t="s">
        <v>212</v>
      </c>
      <c r="B1542" s="20" t="s">
        <v>8</v>
      </c>
      <c r="C1542" s="20">
        <v>67</v>
      </c>
      <c r="D1542" s="21" t="s">
        <v>40</v>
      </c>
      <c r="E1542" s="21" t="s">
        <v>10</v>
      </c>
      <c r="F1542" s="20">
        <v>0.15</v>
      </c>
      <c r="G1542" s="22">
        <f>C1542*F1542</f>
        <v>10.049999999999999</v>
      </c>
    </row>
    <row r="1543" spans="1:7" ht="15" customHeight="1">
      <c r="A1543" s="19" t="s">
        <v>212</v>
      </c>
      <c r="B1543" s="20" t="s">
        <v>11</v>
      </c>
      <c r="C1543" s="20">
        <v>68</v>
      </c>
      <c r="D1543" s="21" t="s">
        <v>41</v>
      </c>
      <c r="E1543" s="21" t="s">
        <v>13</v>
      </c>
      <c r="F1543" s="20">
        <v>0.2</v>
      </c>
      <c r="G1543" s="22">
        <f>C1543*F1543</f>
        <v>13.600000000000001</v>
      </c>
    </row>
    <row r="1544" spans="1:7" ht="15" customHeight="1">
      <c r="A1544" s="19" t="s">
        <v>212</v>
      </c>
      <c r="B1544" s="20" t="s">
        <v>14</v>
      </c>
      <c r="C1544" s="20">
        <v>66</v>
      </c>
      <c r="D1544" s="21" t="s">
        <v>41</v>
      </c>
      <c r="E1544" s="21" t="s">
        <v>13</v>
      </c>
      <c r="F1544" s="20">
        <v>0.25</v>
      </c>
      <c r="G1544" s="22">
        <f>C1544*F1544</f>
        <v>16.5</v>
      </c>
    </row>
    <row r="1545" spans="1:7" ht="15" customHeight="1">
      <c r="A1545" s="19" t="s">
        <v>212</v>
      </c>
      <c r="B1545" s="20" t="s">
        <v>16</v>
      </c>
      <c r="C1545" s="20">
        <v>64</v>
      </c>
      <c r="D1545" s="21" t="s">
        <v>17</v>
      </c>
      <c r="E1545" s="21" t="s">
        <v>18</v>
      </c>
      <c r="F1545" s="20">
        <v>0.4</v>
      </c>
      <c r="G1545" s="22">
        <f>C1545*F1545</f>
        <v>25.6</v>
      </c>
    </row>
    <row r="1546" spans="1:7" ht="15" customHeight="1">
      <c r="A1546" s="19" t="s">
        <v>212</v>
      </c>
      <c r="B1546" s="20" t="s">
        <v>19</v>
      </c>
      <c r="C1546" s="20">
        <v>65</v>
      </c>
      <c r="D1546" s="21" t="s">
        <v>43</v>
      </c>
      <c r="E1546" s="21" t="s">
        <v>21</v>
      </c>
      <c r="F1546" s="20">
        <v>0.2</v>
      </c>
      <c r="G1546" s="22">
        <f>C1546*F1546</f>
        <v>13</v>
      </c>
    </row>
    <row r="1547" spans="1:7" ht="15" customHeight="1">
      <c r="A1547" s="19" t="s">
        <v>212</v>
      </c>
      <c r="B1547" s="20" t="s">
        <v>22</v>
      </c>
      <c r="C1547" s="20">
        <v>67</v>
      </c>
      <c r="D1547" s="21" t="s">
        <v>44</v>
      </c>
      <c r="E1547" s="21" t="s">
        <v>24</v>
      </c>
      <c r="F1547" s="20">
        <v>0.3</v>
      </c>
      <c r="G1547" s="22">
        <f>C1547*F1547</f>
        <v>20.099999999999998</v>
      </c>
    </row>
    <row r="1548" spans="1:7" ht="15" customHeight="1">
      <c r="A1548" s="19" t="s">
        <v>212</v>
      </c>
      <c r="B1548" s="20" t="s">
        <v>25</v>
      </c>
      <c r="C1548" s="20">
        <v>67</v>
      </c>
      <c r="D1548" s="21" t="s">
        <v>45</v>
      </c>
      <c r="E1548" s="21" t="s">
        <v>27</v>
      </c>
      <c r="F1548" s="20">
        <v>0.5</v>
      </c>
      <c r="G1548" s="22">
        <f>C1548*F1548</f>
        <v>33.5</v>
      </c>
    </row>
    <row r="1549" spans="1:7" ht="15" customHeight="1">
      <c r="A1549" s="19" t="s">
        <v>212</v>
      </c>
      <c r="B1549" s="20" t="s">
        <v>28</v>
      </c>
      <c r="C1549" s="20">
        <v>62</v>
      </c>
      <c r="D1549" s="21" t="s">
        <v>29</v>
      </c>
      <c r="E1549" s="21" t="s">
        <v>30</v>
      </c>
      <c r="F1549" s="20">
        <v>0.1</v>
      </c>
      <c r="G1549" s="22">
        <f>C1549*F1549</f>
        <v>6.2</v>
      </c>
    </row>
    <row r="1550" spans="1:7" ht="15" customHeight="1">
      <c r="A1550" s="19" t="s">
        <v>212</v>
      </c>
      <c r="B1550" s="20" t="s">
        <v>31</v>
      </c>
      <c r="C1550" s="20">
        <v>67</v>
      </c>
      <c r="D1550" s="21" t="s">
        <v>46</v>
      </c>
      <c r="E1550" s="21" t="s">
        <v>30</v>
      </c>
      <c r="F1550" s="20">
        <v>0.2</v>
      </c>
      <c r="G1550" s="22">
        <f>C1550*F1550</f>
        <v>13.4</v>
      </c>
    </row>
    <row r="1551" spans="1:7" ht="15" customHeight="1">
      <c r="A1551" s="19" t="s">
        <v>212</v>
      </c>
      <c r="B1551" s="20" t="s">
        <v>33</v>
      </c>
      <c r="C1551" s="20">
        <v>65</v>
      </c>
      <c r="D1551" s="21" t="s">
        <v>47</v>
      </c>
      <c r="E1551" s="21" t="s">
        <v>35</v>
      </c>
      <c r="F1551" s="20">
        <v>0.35</v>
      </c>
      <c r="G1551" s="22">
        <f>C1551*F1551</f>
        <v>22.75</v>
      </c>
    </row>
    <row r="1552" spans="1:7" ht="15" customHeight="1">
      <c r="A1552" s="19" t="s">
        <v>212</v>
      </c>
      <c r="B1552" s="20" t="s">
        <v>36</v>
      </c>
      <c r="C1552" s="20">
        <v>61</v>
      </c>
      <c r="D1552" s="21" t="s">
        <v>48</v>
      </c>
      <c r="E1552" s="21" t="s">
        <v>38</v>
      </c>
      <c r="F1552" s="20">
        <v>0.35</v>
      </c>
      <c r="G1552" s="22">
        <f>C1552*F1552</f>
        <v>21.349999999999998</v>
      </c>
    </row>
    <row r="1553" spans="1:7" ht="15" customHeight="1">
      <c r="A1553" s="19" t="s">
        <v>213</v>
      </c>
      <c r="B1553" s="20" t="s">
        <v>8</v>
      </c>
      <c r="C1553" s="20">
        <v>65</v>
      </c>
      <c r="D1553" s="21" t="s">
        <v>40</v>
      </c>
      <c r="E1553" s="21" t="s">
        <v>10</v>
      </c>
      <c r="F1553" s="20">
        <v>0.15</v>
      </c>
      <c r="G1553" s="22">
        <f>C1553*F1553</f>
        <v>9.75</v>
      </c>
    </row>
    <row r="1554" spans="1:7" ht="15" customHeight="1">
      <c r="A1554" s="19" t="s">
        <v>213</v>
      </c>
      <c r="B1554" s="20" t="s">
        <v>11</v>
      </c>
      <c r="C1554" s="20">
        <v>71</v>
      </c>
      <c r="D1554" s="21" t="s">
        <v>41</v>
      </c>
      <c r="E1554" s="21" t="s">
        <v>13</v>
      </c>
      <c r="F1554" s="20">
        <v>0.2</v>
      </c>
      <c r="G1554" s="22">
        <f>C1554*F1554</f>
        <v>14.200000000000001</v>
      </c>
    </row>
    <row r="1555" spans="1:7" ht="15" customHeight="1">
      <c r="A1555" s="19" t="s">
        <v>213</v>
      </c>
      <c r="B1555" s="20" t="s">
        <v>14</v>
      </c>
      <c r="C1555" s="20">
        <v>65</v>
      </c>
      <c r="D1555" s="21" t="s">
        <v>41</v>
      </c>
      <c r="E1555" s="21" t="s">
        <v>13</v>
      </c>
      <c r="F1555" s="20">
        <v>0.25</v>
      </c>
      <c r="G1555" s="22">
        <f>C1555*F1555</f>
        <v>16.25</v>
      </c>
    </row>
    <row r="1556" spans="1:7" ht="15" customHeight="1">
      <c r="A1556" s="19" t="s">
        <v>213</v>
      </c>
      <c r="B1556" s="20" t="s">
        <v>16</v>
      </c>
      <c r="C1556" s="20">
        <v>65</v>
      </c>
      <c r="D1556" s="21" t="s">
        <v>42</v>
      </c>
      <c r="E1556" s="21" t="s">
        <v>18</v>
      </c>
      <c r="F1556" s="20">
        <v>0.4</v>
      </c>
      <c r="G1556" s="22">
        <f>C1556*F1556</f>
        <v>26</v>
      </c>
    </row>
    <row r="1557" spans="1:7" ht="15" customHeight="1">
      <c r="A1557" s="19" t="s">
        <v>213</v>
      </c>
      <c r="B1557" s="20" t="s">
        <v>19</v>
      </c>
      <c r="C1557" s="20">
        <v>72</v>
      </c>
      <c r="D1557" s="21" t="s">
        <v>43</v>
      </c>
      <c r="E1557" s="21" t="s">
        <v>21</v>
      </c>
      <c r="F1557" s="20">
        <v>0.2</v>
      </c>
      <c r="G1557" s="22">
        <f>C1557*F1557</f>
        <v>14.4</v>
      </c>
    </row>
    <row r="1558" spans="1:7" ht="15" customHeight="1">
      <c r="A1558" s="19" t="s">
        <v>213</v>
      </c>
      <c r="B1558" s="20" t="s">
        <v>22</v>
      </c>
      <c r="C1558" s="20">
        <v>70</v>
      </c>
      <c r="D1558" s="21" t="s">
        <v>44</v>
      </c>
      <c r="E1558" s="21" t="s">
        <v>24</v>
      </c>
      <c r="F1558" s="20">
        <v>0.3</v>
      </c>
      <c r="G1558" s="22">
        <f>C1558*F1558</f>
        <v>21</v>
      </c>
    </row>
    <row r="1559" spans="1:7" ht="15" customHeight="1">
      <c r="A1559" s="19" t="s">
        <v>213</v>
      </c>
      <c r="B1559" s="20" t="s">
        <v>25</v>
      </c>
      <c r="C1559" s="20">
        <v>68</v>
      </c>
      <c r="D1559" s="21" t="s">
        <v>45</v>
      </c>
      <c r="E1559" s="21" t="s">
        <v>27</v>
      </c>
      <c r="F1559" s="20">
        <v>0.5</v>
      </c>
      <c r="G1559" s="22">
        <f>C1559*F1559</f>
        <v>34</v>
      </c>
    </row>
    <row r="1560" spans="1:7" ht="15" customHeight="1">
      <c r="A1560" s="19" t="s">
        <v>213</v>
      </c>
      <c r="B1560" s="20" t="s">
        <v>28</v>
      </c>
      <c r="C1560" s="20">
        <v>71</v>
      </c>
      <c r="D1560" s="21" t="s">
        <v>46</v>
      </c>
      <c r="E1560" s="21" t="s">
        <v>30</v>
      </c>
      <c r="F1560" s="20">
        <v>0.1</v>
      </c>
      <c r="G1560" s="22">
        <f>C1560*F1560</f>
        <v>7.1000000000000005</v>
      </c>
    </row>
    <row r="1561" spans="1:7" ht="15" customHeight="1">
      <c r="A1561" s="19" t="s">
        <v>213</v>
      </c>
      <c r="B1561" s="20" t="s">
        <v>31</v>
      </c>
      <c r="C1561" s="20">
        <v>68</v>
      </c>
      <c r="D1561" s="21" t="s">
        <v>46</v>
      </c>
      <c r="E1561" s="21" t="s">
        <v>30</v>
      </c>
      <c r="F1561" s="20">
        <v>0.2</v>
      </c>
      <c r="G1561" s="22">
        <f>C1561*F1561</f>
        <v>13.600000000000001</v>
      </c>
    </row>
    <row r="1562" spans="1:7" ht="15" customHeight="1">
      <c r="A1562" s="19" t="s">
        <v>213</v>
      </c>
      <c r="B1562" s="20" t="s">
        <v>33</v>
      </c>
      <c r="C1562" s="20">
        <v>68</v>
      </c>
      <c r="D1562" s="21" t="s">
        <v>47</v>
      </c>
      <c r="E1562" s="21" t="s">
        <v>35</v>
      </c>
      <c r="F1562" s="20">
        <v>0.35</v>
      </c>
      <c r="G1562" s="22">
        <f>C1562*F1562</f>
        <v>23.799999999999997</v>
      </c>
    </row>
    <row r="1563" spans="1:7" ht="15" customHeight="1">
      <c r="A1563" s="19" t="s">
        <v>213</v>
      </c>
      <c r="B1563" s="20" t="s">
        <v>36</v>
      </c>
      <c r="C1563" s="20">
        <v>66</v>
      </c>
      <c r="D1563" s="21" t="s">
        <v>51</v>
      </c>
      <c r="E1563" s="21" t="s">
        <v>38</v>
      </c>
      <c r="F1563" s="20">
        <v>0.35</v>
      </c>
      <c r="G1563" s="22">
        <f>C1563*F1563</f>
        <v>23.099999999999998</v>
      </c>
    </row>
    <row r="1564" spans="1:7" ht="15" customHeight="1">
      <c r="A1564" s="19" t="s">
        <v>214</v>
      </c>
      <c r="B1564" s="20" t="s">
        <v>8</v>
      </c>
      <c r="C1564" s="20">
        <v>69</v>
      </c>
      <c r="D1564" s="21" t="s">
        <v>40</v>
      </c>
      <c r="E1564" s="21" t="s">
        <v>10</v>
      </c>
      <c r="F1564" s="20">
        <v>0.15</v>
      </c>
      <c r="G1564" s="22">
        <f>C1564*F1564</f>
        <v>10.35</v>
      </c>
    </row>
    <row r="1565" spans="1:7" ht="15" customHeight="1">
      <c r="A1565" s="19" t="s">
        <v>214</v>
      </c>
      <c r="B1565" s="20" t="s">
        <v>11</v>
      </c>
      <c r="C1565" s="20">
        <v>68</v>
      </c>
      <c r="D1565" s="21" t="s">
        <v>41</v>
      </c>
      <c r="E1565" s="21" t="s">
        <v>13</v>
      </c>
      <c r="F1565" s="20">
        <v>0.2</v>
      </c>
      <c r="G1565" s="22">
        <f>C1565*F1565</f>
        <v>13.600000000000001</v>
      </c>
    </row>
    <row r="1566" spans="1:7" ht="15" customHeight="1">
      <c r="A1566" s="19" t="s">
        <v>214</v>
      </c>
      <c r="B1566" s="20" t="s">
        <v>14</v>
      </c>
      <c r="C1566" s="20">
        <v>66</v>
      </c>
      <c r="D1566" s="21" t="s">
        <v>41</v>
      </c>
      <c r="E1566" s="21" t="s">
        <v>13</v>
      </c>
      <c r="F1566" s="20">
        <v>0.25</v>
      </c>
      <c r="G1566" s="22">
        <f>C1566*F1566</f>
        <v>16.5</v>
      </c>
    </row>
    <row r="1567" spans="1:7" ht="15" customHeight="1">
      <c r="A1567" s="19" t="s">
        <v>214</v>
      </c>
      <c r="B1567" s="20" t="s">
        <v>16</v>
      </c>
      <c r="C1567" s="20">
        <v>66</v>
      </c>
      <c r="D1567" s="21" t="s">
        <v>42</v>
      </c>
      <c r="E1567" s="21" t="s">
        <v>18</v>
      </c>
      <c r="F1567" s="20">
        <v>0.4</v>
      </c>
      <c r="G1567" s="22">
        <f>C1567*F1567</f>
        <v>26.400000000000002</v>
      </c>
    </row>
    <row r="1568" spans="1:7" ht="15" customHeight="1">
      <c r="A1568" s="19" t="s">
        <v>214</v>
      </c>
      <c r="B1568" s="20" t="s">
        <v>19</v>
      </c>
      <c r="C1568" s="20">
        <v>67</v>
      </c>
      <c r="D1568" s="21" t="s">
        <v>43</v>
      </c>
      <c r="E1568" s="21" t="s">
        <v>21</v>
      </c>
      <c r="F1568" s="20">
        <v>0.2</v>
      </c>
      <c r="G1568" s="22">
        <f>C1568*F1568</f>
        <v>13.4</v>
      </c>
    </row>
    <row r="1569" spans="1:7" ht="15" customHeight="1">
      <c r="A1569" s="19" t="s">
        <v>214</v>
      </c>
      <c r="B1569" s="20" t="s">
        <v>22</v>
      </c>
      <c r="C1569" s="20">
        <v>70</v>
      </c>
      <c r="D1569" s="21" t="s">
        <v>44</v>
      </c>
      <c r="E1569" s="21" t="s">
        <v>24</v>
      </c>
      <c r="F1569" s="20">
        <v>0.3</v>
      </c>
      <c r="G1569" s="22">
        <f>C1569*F1569</f>
        <v>21</v>
      </c>
    </row>
    <row r="1570" spans="1:7" ht="15" customHeight="1">
      <c r="A1570" s="19" t="s">
        <v>214</v>
      </c>
      <c r="B1570" s="20" t="s">
        <v>25</v>
      </c>
      <c r="C1570" s="20">
        <v>66</v>
      </c>
      <c r="D1570" s="21" t="s">
        <v>45</v>
      </c>
      <c r="E1570" s="21" t="s">
        <v>27</v>
      </c>
      <c r="F1570" s="20">
        <v>0.5</v>
      </c>
      <c r="G1570" s="22">
        <f>C1570*F1570</f>
        <v>33</v>
      </c>
    </row>
    <row r="1571" spans="1:7" ht="15" customHeight="1">
      <c r="A1571" s="19" t="s">
        <v>214</v>
      </c>
      <c r="B1571" s="20" t="s">
        <v>28</v>
      </c>
      <c r="C1571" s="20">
        <v>69</v>
      </c>
      <c r="D1571" s="21" t="s">
        <v>46</v>
      </c>
      <c r="E1571" s="21" t="s">
        <v>30</v>
      </c>
      <c r="F1571" s="20">
        <v>0.1</v>
      </c>
      <c r="G1571" s="22">
        <f>C1571*F1571</f>
        <v>6.9</v>
      </c>
    </row>
    <row r="1572" spans="1:7" ht="15" customHeight="1">
      <c r="A1572" s="19" t="s">
        <v>214</v>
      </c>
      <c r="B1572" s="20" t="s">
        <v>31</v>
      </c>
      <c r="C1572" s="20">
        <v>69</v>
      </c>
      <c r="D1572" s="21" t="s">
        <v>46</v>
      </c>
      <c r="E1572" s="21" t="s">
        <v>30</v>
      </c>
      <c r="F1572" s="20">
        <v>0.2</v>
      </c>
      <c r="G1572" s="22">
        <f>C1572*F1572</f>
        <v>13.8</v>
      </c>
    </row>
    <row r="1573" spans="1:7" ht="15" customHeight="1">
      <c r="A1573" s="19" t="s">
        <v>214</v>
      </c>
      <c r="B1573" s="20" t="s">
        <v>33</v>
      </c>
      <c r="C1573" s="20">
        <v>75</v>
      </c>
      <c r="D1573" s="21" t="s">
        <v>63</v>
      </c>
      <c r="E1573" s="21" t="s">
        <v>35</v>
      </c>
      <c r="F1573" s="20">
        <v>0.35</v>
      </c>
      <c r="G1573" s="22">
        <f>C1573*F1573</f>
        <v>26.25</v>
      </c>
    </row>
    <row r="1574" spans="1:7" ht="15" customHeight="1">
      <c r="A1574" s="19" t="s">
        <v>214</v>
      </c>
      <c r="B1574" s="20" t="s">
        <v>36</v>
      </c>
      <c r="C1574" s="20">
        <v>74</v>
      </c>
      <c r="D1574" s="21" t="s">
        <v>51</v>
      </c>
      <c r="E1574" s="21" t="s">
        <v>38</v>
      </c>
      <c r="F1574" s="20">
        <v>0.35</v>
      </c>
      <c r="G1574" s="22">
        <f>C1574*F1574</f>
        <v>25.9</v>
      </c>
    </row>
    <row r="1575" spans="1:7" ht="15" customHeight="1">
      <c r="A1575" s="19" t="s">
        <v>215</v>
      </c>
      <c r="B1575" s="20" t="s">
        <v>8</v>
      </c>
      <c r="C1575" s="20">
        <v>75</v>
      </c>
      <c r="D1575" s="21" t="s">
        <v>56</v>
      </c>
      <c r="E1575" s="21" t="s">
        <v>10</v>
      </c>
      <c r="F1575" s="20">
        <v>0.15</v>
      </c>
      <c r="G1575" s="22">
        <f>C1575*F1575</f>
        <v>11.25</v>
      </c>
    </row>
    <row r="1576" spans="1:7" ht="15" customHeight="1">
      <c r="A1576" s="19" t="s">
        <v>215</v>
      </c>
      <c r="B1576" s="20" t="s">
        <v>11</v>
      </c>
      <c r="C1576" s="20">
        <v>75</v>
      </c>
      <c r="D1576" s="21" t="s">
        <v>61</v>
      </c>
      <c r="E1576" s="21" t="s">
        <v>13</v>
      </c>
      <c r="F1576" s="20">
        <v>0.2</v>
      </c>
      <c r="G1576" s="22">
        <f>C1576*F1576</f>
        <v>15</v>
      </c>
    </row>
    <row r="1577" spans="1:7" ht="15" customHeight="1">
      <c r="A1577" s="19" t="s">
        <v>215</v>
      </c>
      <c r="B1577" s="20" t="s">
        <v>14</v>
      </c>
      <c r="C1577" s="20">
        <v>73</v>
      </c>
      <c r="D1577" s="21" t="s">
        <v>41</v>
      </c>
      <c r="E1577" s="21" t="s">
        <v>13</v>
      </c>
      <c r="F1577" s="20">
        <v>0.25</v>
      </c>
      <c r="G1577" s="22">
        <f>C1577*F1577</f>
        <v>18.25</v>
      </c>
    </row>
    <row r="1578" spans="1:7" ht="15" customHeight="1">
      <c r="A1578" s="19" t="s">
        <v>215</v>
      </c>
      <c r="B1578" s="20" t="s">
        <v>16</v>
      </c>
      <c r="C1578" s="20">
        <v>73</v>
      </c>
      <c r="D1578" s="21" t="s">
        <v>42</v>
      </c>
      <c r="E1578" s="21" t="s">
        <v>18</v>
      </c>
      <c r="F1578" s="20">
        <v>0.4</v>
      </c>
      <c r="G1578" s="22">
        <f>C1578*F1578</f>
        <v>29.200000000000003</v>
      </c>
    </row>
    <row r="1579" spans="1:7" ht="15" customHeight="1">
      <c r="A1579" s="19" t="s">
        <v>215</v>
      </c>
      <c r="B1579" s="20" t="s">
        <v>19</v>
      </c>
      <c r="C1579" s="20">
        <v>73</v>
      </c>
      <c r="D1579" s="21" t="s">
        <v>43</v>
      </c>
      <c r="E1579" s="21" t="s">
        <v>21</v>
      </c>
      <c r="F1579" s="20">
        <v>0.2</v>
      </c>
      <c r="G1579" s="22">
        <f>C1579*F1579</f>
        <v>14.600000000000001</v>
      </c>
    </row>
    <row r="1580" spans="1:7" ht="15" customHeight="1">
      <c r="A1580" s="19" t="s">
        <v>215</v>
      </c>
      <c r="B1580" s="20" t="s">
        <v>22</v>
      </c>
      <c r="C1580" s="20">
        <v>79</v>
      </c>
      <c r="D1580" s="21" t="s">
        <v>58</v>
      </c>
      <c r="E1580" s="21" t="s">
        <v>24</v>
      </c>
      <c r="F1580" s="20">
        <v>0.3</v>
      </c>
      <c r="G1580" s="22">
        <f>C1580*F1580</f>
        <v>23.7</v>
      </c>
    </row>
    <row r="1581" spans="1:7" ht="15" customHeight="1">
      <c r="A1581" s="19" t="s">
        <v>215</v>
      </c>
      <c r="B1581" s="20" t="s">
        <v>25</v>
      </c>
      <c r="C1581" s="20">
        <v>73</v>
      </c>
      <c r="D1581" s="21" t="s">
        <v>45</v>
      </c>
      <c r="E1581" s="21" t="s">
        <v>27</v>
      </c>
      <c r="F1581" s="20">
        <v>0.5</v>
      </c>
      <c r="G1581" s="22">
        <f>C1581*F1581</f>
        <v>36.5</v>
      </c>
    </row>
    <row r="1582" spans="1:7" ht="15" customHeight="1">
      <c r="A1582" s="19" t="s">
        <v>215</v>
      </c>
      <c r="B1582" s="20" t="s">
        <v>28</v>
      </c>
      <c r="C1582" s="20">
        <v>74</v>
      </c>
      <c r="D1582" s="21" t="s">
        <v>46</v>
      </c>
      <c r="E1582" s="21" t="s">
        <v>30</v>
      </c>
      <c r="F1582" s="20">
        <v>0.1</v>
      </c>
      <c r="G1582" s="22">
        <f>C1582*F1582</f>
        <v>7.4</v>
      </c>
    </row>
    <row r="1583" spans="1:7" ht="15" customHeight="1">
      <c r="A1583" s="19" t="s">
        <v>215</v>
      </c>
      <c r="B1583" s="20" t="s">
        <v>31</v>
      </c>
      <c r="C1583" s="20">
        <v>75</v>
      </c>
      <c r="D1583" s="21" t="s">
        <v>62</v>
      </c>
      <c r="E1583" s="21" t="s">
        <v>30</v>
      </c>
      <c r="F1583" s="20">
        <v>0.2</v>
      </c>
      <c r="G1583" s="22">
        <f>C1583*F1583</f>
        <v>15</v>
      </c>
    </row>
    <row r="1584" spans="1:7" ht="15" customHeight="1">
      <c r="A1584" s="19" t="s">
        <v>215</v>
      </c>
      <c r="B1584" s="20" t="s">
        <v>33</v>
      </c>
      <c r="C1584" s="20">
        <v>78</v>
      </c>
      <c r="D1584" s="21" t="s">
        <v>63</v>
      </c>
      <c r="E1584" s="21" t="s">
        <v>35</v>
      </c>
      <c r="F1584" s="20">
        <v>0.35</v>
      </c>
      <c r="G1584" s="22">
        <f>C1584*F1584</f>
        <v>27.299999999999997</v>
      </c>
    </row>
    <row r="1585" spans="1:7" ht="15" customHeight="1">
      <c r="A1585" s="19" t="s">
        <v>215</v>
      </c>
      <c r="B1585" s="20" t="s">
        <v>36</v>
      </c>
      <c r="C1585" s="20">
        <v>78</v>
      </c>
      <c r="D1585" s="21" t="s">
        <v>59</v>
      </c>
      <c r="E1585" s="21" t="s">
        <v>38</v>
      </c>
      <c r="F1585" s="20">
        <v>0.35</v>
      </c>
      <c r="G1585" s="22">
        <f>C1585*F1585</f>
        <v>27.299999999999997</v>
      </c>
    </row>
    <row r="1586" spans="1:7" ht="15" customHeight="1">
      <c r="A1586" s="19" t="s">
        <v>216</v>
      </c>
      <c r="B1586" s="20" t="s">
        <v>8</v>
      </c>
      <c r="C1586" s="20">
        <v>65</v>
      </c>
      <c r="D1586" s="21" t="s">
        <v>40</v>
      </c>
      <c r="E1586" s="21" t="s">
        <v>10</v>
      </c>
      <c r="F1586" s="20">
        <v>0.15</v>
      </c>
      <c r="G1586" s="22">
        <f>C1586*F1586</f>
        <v>9.75</v>
      </c>
    </row>
    <row r="1587" spans="1:7" ht="15" customHeight="1">
      <c r="A1587" s="19" t="s">
        <v>216</v>
      </c>
      <c r="B1587" s="20" t="s">
        <v>11</v>
      </c>
      <c r="C1587" s="20">
        <v>66</v>
      </c>
      <c r="D1587" s="21" t="s">
        <v>41</v>
      </c>
      <c r="E1587" s="21" t="s">
        <v>13</v>
      </c>
      <c r="F1587" s="20">
        <v>0.2</v>
      </c>
      <c r="G1587" s="22">
        <f>C1587*F1587</f>
        <v>13.200000000000001</v>
      </c>
    </row>
    <row r="1588" spans="1:7" ht="15" customHeight="1">
      <c r="A1588" s="19" t="s">
        <v>216</v>
      </c>
      <c r="B1588" s="20" t="s">
        <v>14</v>
      </c>
      <c r="C1588" s="20">
        <v>63</v>
      </c>
      <c r="D1588" s="21" t="s">
        <v>15</v>
      </c>
      <c r="E1588" s="21" t="s">
        <v>13</v>
      </c>
      <c r="F1588" s="20">
        <v>0.25</v>
      </c>
      <c r="G1588" s="22">
        <f>C1588*F1588</f>
        <v>15.75</v>
      </c>
    </row>
    <row r="1589" spans="1:7" ht="15" customHeight="1">
      <c r="A1589" s="19" t="s">
        <v>216</v>
      </c>
      <c r="B1589" s="20" t="s">
        <v>16</v>
      </c>
      <c r="C1589" s="20">
        <v>68</v>
      </c>
      <c r="D1589" s="21" t="s">
        <v>42</v>
      </c>
      <c r="E1589" s="21" t="s">
        <v>18</v>
      </c>
      <c r="F1589" s="20">
        <v>0.4</v>
      </c>
      <c r="G1589" s="22">
        <f>C1589*F1589</f>
        <v>27.200000000000003</v>
      </c>
    </row>
    <row r="1590" spans="1:7" ht="15" customHeight="1">
      <c r="A1590" s="19" t="s">
        <v>216</v>
      </c>
      <c r="B1590" s="20" t="s">
        <v>19</v>
      </c>
      <c r="C1590" s="20">
        <v>70</v>
      </c>
      <c r="D1590" s="21" t="s">
        <v>43</v>
      </c>
      <c r="E1590" s="21" t="s">
        <v>21</v>
      </c>
      <c r="F1590" s="20">
        <v>0.2</v>
      </c>
      <c r="G1590" s="22">
        <f>C1590*F1590</f>
        <v>14</v>
      </c>
    </row>
    <row r="1591" spans="1:7" ht="15" customHeight="1">
      <c r="A1591" s="19" t="s">
        <v>216</v>
      </c>
      <c r="B1591" s="20" t="s">
        <v>22</v>
      </c>
      <c r="C1591" s="20">
        <v>71</v>
      </c>
      <c r="D1591" s="21" t="s">
        <v>44</v>
      </c>
      <c r="E1591" s="21" t="s">
        <v>24</v>
      </c>
      <c r="F1591" s="20">
        <v>0.3</v>
      </c>
      <c r="G1591" s="22">
        <f>C1591*F1591</f>
        <v>21.3</v>
      </c>
    </row>
    <row r="1592" spans="1:7" ht="15" customHeight="1">
      <c r="A1592" s="19" t="s">
        <v>216</v>
      </c>
      <c r="B1592" s="20" t="s">
        <v>25</v>
      </c>
      <c r="C1592" s="20">
        <v>72</v>
      </c>
      <c r="D1592" s="21" t="s">
        <v>45</v>
      </c>
      <c r="E1592" s="21" t="s">
        <v>27</v>
      </c>
      <c r="F1592" s="20">
        <v>0.5</v>
      </c>
      <c r="G1592" s="22">
        <f>C1592*F1592</f>
        <v>36</v>
      </c>
    </row>
    <row r="1593" spans="1:7" ht="15" customHeight="1">
      <c r="A1593" s="19" t="s">
        <v>216</v>
      </c>
      <c r="B1593" s="20" t="s">
        <v>28</v>
      </c>
      <c r="C1593" s="20">
        <v>60</v>
      </c>
      <c r="D1593" s="21" t="s">
        <v>29</v>
      </c>
      <c r="E1593" s="21" t="s">
        <v>30</v>
      </c>
      <c r="F1593" s="20">
        <v>0.1</v>
      </c>
      <c r="G1593" s="22">
        <f>C1593*F1593</f>
        <v>6</v>
      </c>
    </row>
    <row r="1594" spans="1:7" ht="15" customHeight="1">
      <c r="A1594" s="19" t="s">
        <v>216</v>
      </c>
      <c r="B1594" s="20" t="s">
        <v>31</v>
      </c>
      <c r="C1594" s="20">
        <v>60</v>
      </c>
      <c r="D1594" s="21" t="s">
        <v>29</v>
      </c>
      <c r="E1594" s="21" t="s">
        <v>30</v>
      </c>
      <c r="F1594" s="20">
        <v>0.2</v>
      </c>
      <c r="G1594" s="22">
        <f>C1594*F1594</f>
        <v>12</v>
      </c>
    </row>
    <row r="1595" spans="1:7" ht="15" customHeight="1">
      <c r="A1595" s="19" t="s">
        <v>216</v>
      </c>
      <c r="B1595" s="20" t="s">
        <v>33</v>
      </c>
      <c r="C1595" s="20">
        <v>62</v>
      </c>
      <c r="D1595" s="21" t="s">
        <v>34</v>
      </c>
      <c r="E1595" s="21" t="s">
        <v>35</v>
      </c>
      <c r="F1595" s="20">
        <v>0.35</v>
      </c>
      <c r="G1595" s="22">
        <f>C1595*F1595</f>
        <v>21.7</v>
      </c>
    </row>
    <row r="1596" spans="1:7" ht="15" customHeight="1">
      <c r="A1596" s="19" t="s">
        <v>216</v>
      </c>
      <c r="B1596" s="20" t="s">
        <v>36</v>
      </c>
      <c r="C1596" s="20">
        <v>64</v>
      </c>
      <c r="D1596" s="21" t="s">
        <v>48</v>
      </c>
      <c r="E1596" s="21" t="s">
        <v>38</v>
      </c>
      <c r="F1596" s="20">
        <v>0.35</v>
      </c>
      <c r="G1596" s="22">
        <f>C1596*F1596</f>
        <v>22.4</v>
      </c>
    </row>
    <row r="1597" spans="1:7" ht="15" customHeight="1">
      <c r="A1597" s="19" t="s">
        <v>217</v>
      </c>
      <c r="B1597" s="20" t="s">
        <v>8</v>
      </c>
      <c r="C1597" s="20">
        <v>87</v>
      </c>
      <c r="D1597" s="21" t="s">
        <v>74</v>
      </c>
      <c r="E1597" s="21" t="s">
        <v>10</v>
      </c>
      <c r="F1597" s="20">
        <v>0.15</v>
      </c>
      <c r="G1597" s="22">
        <f>C1597*F1597</f>
        <v>13.049999999999999</v>
      </c>
    </row>
    <row r="1598" spans="1:7" ht="15" customHeight="1">
      <c r="A1598" s="19" t="s">
        <v>217</v>
      </c>
      <c r="B1598" s="20" t="s">
        <v>11</v>
      </c>
      <c r="C1598" s="20">
        <v>93</v>
      </c>
      <c r="D1598" s="21" t="s">
        <v>75</v>
      </c>
      <c r="E1598" s="21" t="s">
        <v>13</v>
      </c>
      <c r="F1598" s="20">
        <v>0.2</v>
      </c>
      <c r="G1598" s="22">
        <f>C1598*F1598</f>
        <v>18.600000000000001</v>
      </c>
    </row>
    <row r="1599" spans="1:7" ht="15" customHeight="1">
      <c r="A1599" s="19" t="s">
        <v>217</v>
      </c>
      <c r="B1599" s="20" t="s">
        <v>14</v>
      </c>
      <c r="C1599" s="20">
        <v>89</v>
      </c>
      <c r="D1599" s="21" t="s">
        <v>75</v>
      </c>
      <c r="E1599" s="21" t="s">
        <v>13</v>
      </c>
      <c r="F1599" s="20">
        <v>0.25</v>
      </c>
      <c r="G1599" s="22">
        <f>C1599*F1599</f>
        <v>22.25</v>
      </c>
    </row>
    <row r="1600" spans="1:7" ht="15" customHeight="1">
      <c r="A1600" s="19" t="s">
        <v>217</v>
      </c>
      <c r="B1600" s="20" t="s">
        <v>16</v>
      </c>
      <c r="C1600" s="20">
        <v>90</v>
      </c>
      <c r="D1600" s="21" t="s">
        <v>76</v>
      </c>
      <c r="E1600" s="21" t="s">
        <v>18</v>
      </c>
      <c r="F1600" s="20">
        <v>0.4</v>
      </c>
      <c r="G1600" s="22">
        <f>C1600*F1600</f>
        <v>36</v>
      </c>
    </row>
    <row r="1601" spans="1:7" ht="15" customHeight="1">
      <c r="A1601" s="19" t="s">
        <v>217</v>
      </c>
      <c r="B1601" s="20" t="s">
        <v>19</v>
      </c>
      <c r="C1601" s="20">
        <v>93</v>
      </c>
      <c r="D1601" s="21" t="s">
        <v>88</v>
      </c>
      <c r="E1601" s="21" t="s">
        <v>21</v>
      </c>
      <c r="F1601" s="20">
        <v>0.2</v>
      </c>
      <c r="G1601" s="22">
        <f>C1601*F1601</f>
        <v>18.600000000000001</v>
      </c>
    </row>
    <row r="1602" spans="1:7" ht="15" customHeight="1">
      <c r="A1602" s="19" t="s">
        <v>217</v>
      </c>
      <c r="B1602" s="20" t="s">
        <v>22</v>
      </c>
      <c r="C1602" s="20">
        <v>95</v>
      </c>
      <c r="D1602" s="21" t="s">
        <v>97</v>
      </c>
      <c r="E1602" s="21" t="s">
        <v>24</v>
      </c>
      <c r="F1602" s="20">
        <v>0.3</v>
      </c>
      <c r="G1602" s="22">
        <f>C1602*F1602</f>
        <v>28.5</v>
      </c>
    </row>
    <row r="1603" spans="1:7" ht="15" customHeight="1">
      <c r="A1603" s="19" t="s">
        <v>217</v>
      </c>
      <c r="B1603" s="20" t="s">
        <v>25</v>
      </c>
      <c r="C1603" s="20">
        <v>94</v>
      </c>
      <c r="D1603" s="21" t="s">
        <v>89</v>
      </c>
      <c r="E1603" s="21" t="s">
        <v>27</v>
      </c>
      <c r="F1603" s="20">
        <v>0.5</v>
      </c>
      <c r="G1603" s="22">
        <f>C1603*F1603</f>
        <v>47</v>
      </c>
    </row>
    <row r="1604" spans="1:7" ht="15" customHeight="1">
      <c r="A1604" s="19" t="s">
        <v>217</v>
      </c>
      <c r="B1604" s="20" t="s">
        <v>28</v>
      </c>
      <c r="C1604" s="20">
        <v>94</v>
      </c>
      <c r="D1604" s="21" t="s">
        <v>90</v>
      </c>
      <c r="E1604" s="21" t="s">
        <v>30</v>
      </c>
      <c r="F1604" s="20">
        <v>0.1</v>
      </c>
      <c r="G1604" s="22">
        <f>C1604*F1604</f>
        <v>9.4</v>
      </c>
    </row>
    <row r="1605" spans="1:7" ht="15" customHeight="1">
      <c r="A1605" s="19" t="s">
        <v>217</v>
      </c>
      <c r="B1605" s="20" t="s">
        <v>31</v>
      </c>
      <c r="C1605" s="20">
        <v>91</v>
      </c>
      <c r="D1605" s="21" t="s">
        <v>90</v>
      </c>
      <c r="E1605" s="21" t="s">
        <v>30</v>
      </c>
      <c r="F1605" s="20">
        <v>0.2</v>
      </c>
      <c r="G1605" s="22">
        <f>C1605*F1605</f>
        <v>18.2</v>
      </c>
    </row>
    <row r="1606" spans="1:7" ht="15" customHeight="1">
      <c r="A1606" s="19" t="s">
        <v>217</v>
      </c>
      <c r="B1606" s="20" t="s">
        <v>33</v>
      </c>
      <c r="C1606" s="20">
        <v>92</v>
      </c>
      <c r="D1606" s="21" t="s">
        <v>98</v>
      </c>
      <c r="E1606" s="21" t="s">
        <v>35</v>
      </c>
      <c r="F1606" s="20">
        <v>0.35</v>
      </c>
      <c r="G1606" s="22">
        <f>C1606*F1606</f>
        <v>32.199999999999996</v>
      </c>
    </row>
    <row r="1607" spans="1:7" ht="15" customHeight="1">
      <c r="A1607" s="19" t="s">
        <v>217</v>
      </c>
      <c r="B1607" s="20" t="s">
        <v>36</v>
      </c>
      <c r="C1607" s="20">
        <v>94</v>
      </c>
      <c r="D1607" s="21" t="s">
        <v>111</v>
      </c>
      <c r="E1607" s="21" t="s">
        <v>38</v>
      </c>
      <c r="F1607" s="20">
        <v>0.35</v>
      </c>
      <c r="G1607" s="22">
        <f>C1607*F1607</f>
        <v>32.9</v>
      </c>
    </row>
    <row r="1608" spans="1:7" ht="15" customHeight="1">
      <c r="A1608" s="19" t="s">
        <v>218</v>
      </c>
      <c r="B1608" s="20" t="s">
        <v>8</v>
      </c>
      <c r="C1608" s="20">
        <v>81</v>
      </c>
      <c r="D1608" s="21" t="s">
        <v>56</v>
      </c>
      <c r="E1608" s="21" t="s">
        <v>10</v>
      </c>
      <c r="F1608" s="20">
        <v>0.15</v>
      </c>
      <c r="G1608" s="22">
        <f>C1608*F1608</f>
        <v>12.15</v>
      </c>
    </row>
    <row r="1609" spans="1:7" ht="15" customHeight="1">
      <c r="A1609" s="19" t="s">
        <v>218</v>
      </c>
      <c r="B1609" s="20" t="s">
        <v>11</v>
      </c>
      <c r="C1609" s="20">
        <v>83</v>
      </c>
      <c r="D1609" s="21" t="s">
        <v>61</v>
      </c>
      <c r="E1609" s="21" t="s">
        <v>13</v>
      </c>
      <c r="F1609" s="20">
        <v>0.2</v>
      </c>
      <c r="G1609" s="22">
        <f>C1609*F1609</f>
        <v>16.600000000000001</v>
      </c>
    </row>
    <row r="1610" spans="1:7" ht="15" customHeight="1">
      <c r="A1610" s="19" t="s">
        <v>218</v>
      </c>
      <c r="B1610" s="20" t="s">
        <v>14</v>
      </c>
      <c r="C1610" s="20">
        <v>84</v>
      </c>
      <c r="D1610" s="21" t="s">
        <v>61</v>
      </c>
      <c r="E1610" s="21" t="s">
        <v>13</v>
      </c>
      <c r="F1610" s="20">
        <v>0.25</v>
      </c>
      <c r="G1610" s="22">
        <f>C1610*F1610</f>
        <v>21</v>
      </c>
    </row>
    <row r="1611" spans="1:7" ht="15" customHeight="1">
      <c r="A1611" s="19" t="s">
        <v>218</v>
      </c>
      <c r="B1611" s="20" t="s">
        <v>16</v>
      </c>
      <c r="C1611" s="20">
        <v>86</v>
      </c>
      <c r="D1611" s="21" t="s">
        <v>76</v>
      </c>
      <c r="E1611" s="21" t="s">
        <v>18</v>
      </c>
      <c r="F1611" s="20">
        <v>0.4</v>
      </c>
      <c r="G1611" s="22">
        <f>C1611*F1611</f>
        <v>34.4</v>
      </c>
    </row>
    <row r="1612" spans="1:7" ht="15" customHeight="1">
      <c r="A1612" s="19" t="s">
        <v>218</v>
      </c>
      <c r="B1612" s="20" t="s">
        <v>19</v>
      </c>
      <c r="C1612" s="20">
        <v>87</v>
      </c>
      <c r="D1612" s="21" t="s">
        <v>88</v>
      </c>
      <c r="E1612" s="21" t="s">
        <v>21</v>
      </c>
      <c r="F1612" s="20">
        <v>0.2</v>
      </c>
      <c r="G1612" s="22">
        <f>C1612*F1612</f>
        <v>17.400000000000002</v>
      </c>
    </row>
    <row r="1613" spans="1:7" ht="15" customHeight="1">
      <c r="A1613" s="19" t="s">
        <v>218</v>
      </c>
      <c r="B1613" s="20" t="s">
        <v>22</v>
      </c>
      <c r="C1613" s="20">
        <v>85</v>
      </c>
      <c r="D1613" s="21" t="s">
        <v>97</v>
      </c>
      <c r="E1613" s="21" t="s">
        <v>24</v>
      </c>
      <c r="F1613" s="20">
        <v>0.3</v>
      </c>
      <c r="G1613" s="22">
        <f>C1613*F1613</f>
        <v>25.5</v>
      </c>
    </row>
    <row r="1614" spans="1:7" ht="15" customHeight="1">
      <c r="A1614" s="19" t="s">
        <v>218</v>
      </c>
      <c r="B1614" s="20" t="s">
        <v>25</v>
      </c>
      <c r="C1614" s="20">
        <v>88</v>
      </c>
      <c r="D1614" s="21" t="s">
        <v>89</v>
      </c>
      <c r="E1614" s="21" t="s">
        <v>27</v>
      </c>
      <c r="F1614" s="20">
        <v>0.5</v>
      </c>
      <c r="G1614" s="22">
        <f>C1614*F1614</f>
        <v>44</v>
      </c>
    </row>
    <row r="1615" spans="1:7" ht="15" customHeight="1">
      <c r="A1615" s="19" t="s">
        <v>218</v>
      </c>
      <c r="B1615" s="20" t="s">
        <v>28</v>
      </c>
      <c r="C1615" s="20">
        <v>87</v>
      </c>
      <c r="D1615" s="21" t="s">
        <v>90</v>
      </c>
      <c r="E1615" s="21" t="s">
        <v>30</v>
      </c>
      <c r="F1615" s="20">
        <v>0.1</v>
      </c>
      <c r="G1615" s="22">
        <f>C1615*F1615</f>
        <v>8.7000000000000011</v>
      </c>
    </row>
    <row r="1616" spans="1:7" ht="15" customHeight="1">
      <c r="A1616" s="19" t="s">
        <v>218</v>
      </c>
      <c r="B1616" s="20" t="s">
        <v>31</v>
      </c>
      <c r="C1616" s="20">
        <v>86</v>
      </c>
      <c r="D1616" s="21" t="s">
        <v>90</v>
      </c>
      <c r="E1616" s="21" t="s">
        <v>30</v>
      </c>
      <c r="F1616" s="20">
        <v>0.2</v>
      </c>
      <c r="G1616" s="22">
        <f>C1616*F1616</f>
        <v>17.2</v>
      </c>
    </row>
    <row r="1617" spans="1:7" ht="15" customHeight="1">
      <c r="A1617" s="19" t="s">
        <v>218</v>
      </c>
      <c r="B1617" s="20" t="s">
        <v>33</v>
      </c>
      <c r="C1617" s="20">
        <v>84</v>
      </c>
      <c r="D1617" s="21" t="s">
        <v>63</v>
      </c>
      <c r="E1617" s="21" t="s">
        <v>35</v>
      </c>
      <c r="F1617" s="20">
        <v>0.35</v>
      </c>
      <c r="G1617" s="22">
        <f>C1617*F1617</f>
        <v>29.4</v>
      </c>
    </row>
    <row r="1618" spans="1:7" ht="15" customHeight="1">
      <c r="A1618" s="19" t="s">
        <v>218</v>
      </c>
      <c r="B1618" s="20" t="s">
        <v>36</v>
      </c>
      <c r="C1618" s="20">
        <v>81</v>
      </c>
      <c r="D1618" s="21" t="s">
        <v>59</v>
      </c>
      <c r="E1618" s="21" t="s">
        <v>38</v>
      </c>
      <c r="F1618" s="20">
        <v>0.35</v>
      </c>
      <c r="G1618" s="22">
        <f>C1618*F1618</f>
        <v>28.349999999999998</v>
      </c>
    </row>
    <row r="1619" spans="1:7" ht="15" customHeight="1">
      <c r="A1619" s="19" t="s">
        <v>219</v>
      </c>
      <c r="B1619" s="20" t="s">
        <v>8</v>
      </c>
      <c r="C1619" s="20">
        <v>76</v>
      </c>
      <c r="D1619" s="21" t="s">
        <v>56</v>
      </c>
      <c r="E1619" s="21" t="s">
        <v>10</v>
      </c>
      <c r="F1619" s="20">
        <v>0.15</v>
      </c>
      <c r="G1619" s="22">
        <f>C1619*F1619</f>
        <v>11.4</v>
      </c>
    </row>
    <row r="1620" spans="1:7" ht="15" customHeight="1">
      <c r="A1620" s="19" t="s">
        <v>219</v>
      </c>
      <c r="B1620" s="20" t="s">
        <v>11</v>
      </c>
      <c r="C1620" s="20">
        <v>77</v>
      </c>
      <c r="D1620" s="21" t="s">
        <v>61</v>
      </c>
      <c r="E1620" s="21" t="s">
        <v>13</v>
      </c>
      <c r="F1620" s="20">
        <v>0.2</v>
      </c>
      <c r="G1620" s="22">
        <f>C1620*F1620</f>
        <v>15.4</v>
      </c>
    </row>
    <row r="1621" spans="1:7" ht="15" customHeight="1">
      <c r="A1621" s="19" t="s">
        <v>219</v>
      </c>
      <c r="B1621" s="20" t="s">
        <v>14</v>
      </c>
      <c r="C1621" s="20">
        <v>78</v>
      </c>
      <c r="D1621" s="21" t="s">
        <v>61</v>
      </c>
      <c r="E1621" s="21" t="s">
        <v>13</v>
      </c>
      <c r="F1621" s="20">
        <v>0.25</v>
      </c>
      <c r="G1621" s="22">
        <f>C1621*F1621</f>
        <v>19.5</v>
      </c>
    </row>
    <row r="1622" spans="1:7" ht="15" customHeight="1">
      <c r="A1622" s="19" t="s">
        <v>219</v>
      </c>
      <c r="B1622" s="20" t="s">
        <v>16</v>
      </c>
      <c r="C1622" s="20">
        <v>77</v>
      </c>
      <c r="D1622" s="21" t="s">
        <v>57</v>
      </c>
      <c r="E1622" s="21" t="s">
        <v>18</v>
      </c>
      <c r="F1622" s="20">
        <v>0.4</v>
      </c>
      <c r="G1622" s="22">
        <f>C1622*F1622</f>
        <v>30.8</v>
      </c>
    </row>
    <row r="1623" spans="1:7" ht="15" customHeight="1">
      <c r="A1623" s="19" t="s">
        <v>219</v>
      </c>
      <c r="B1623" s="20" t="s">
        <v>19</v>
      </c>
      <c r="C1623" s="20">
        <v>69</v>
      </c>
      <c r="D1623" s="21" t="s">
        <v>43</v>
      </c>
      <c r="E1623" s="21" t="s">
        <v>21</v>
      </c>
      <c r="F1623" s="20">
        <v>0.2</v>
      </c>
      <c r="G1623" s="22">
        <f>C1623*F1623</f>
        <v>13.8</v>
      </c>
    </row>
    <row r="1624" spans="1:7" ht="15" customHeight="1">
      <c r="A1624" s="19" t="s">
        <v>219</v>
      </c>
      <c r="B1624" s="20" t="s">
        <v>22</v>
      </c>
      <c r="C1624" s="20">
        <v>70</v>
      </c>
      <c r="D1624" s="21" t="s">
        <v>44</v>
      </c>
      <c r="E1624" s="21" t="s">
        <v>24</v>
      </c>
      <c r="F1624" s="20">
        <v>0.3</v>
      </c>
      <c r="G1624" s="22">
        <f>C1624*F1624</f>
        <v>21</v>
      </c>
    </row>
    <row r="1625" spans="1:7" ht="15" customHeight="1">
      <c r="A1625" s="19" t="s">
        <v>219</v>
      </c>
      <c r="B1625" s="20" t="s">
        <v>25</v>
      </c>
      <c r="C1625" s="20">
        <v>74</v>
      </c>
      <c r="D1625" s="21" t="s">
        <v>45</v>
      </c>
      <c r="E1625" s="21" t="s">
        <v>27</v>
      </c>
      <c r="F1625" s="20">
        <v>0.5</v>
      </c>
      <c r="G1625" s="22">
        <f>C1625*F1625</f>
        <v>37</v>
      </c>
    </row>
    <row r="1626" spans="1:7" ht="15" customHeight="1">
      <c r="A1626" s="19" t="s">
        <v>219</v>
      </c>
      <c r="B1626" s="20" t="s">
        <v>28</v>
      </c>
      <c r="C1626" s="20">
        <v>72</v>
      </c>
      <c r="D1626" s="21" t="s">
        <v>46</v>
      </c>
      <c r="E1626" s="21" t="s">
        <v>30</v>
      </c>
      <c r="F1626" s="20">
        <v>0.1</v>
      </c>
      <c r="G1626" s="22">
        <f>C1626*F1626</f>
        <v>7.2</v>
      </c>
    </row>
    <row r="1627" spans="1:7" ht="15" customHeight="1">
      <c r="A1627" s="19" t="s">
        <v>219</v>
      </c>
      <c r="B1627" s="20" t="s">
        <v>31</v>
      </c>
      <c r="C1627" s="20">
        <v>76</v>
      </c>
      <c r="D1627" s="21" t="s">
        <v>62</v>
      </c>
      <c r="E1627" s="21" t="s">
        <v>30</v>
      </c>
      <c r="F1627" s="20">
        <v>0.2</v>
      </c>
      <c r="G1627" s="22">
        <f>C1627*F1627</f>
        <v>15.200000000000001</v>
      </c>
    </row>
    <row r="1628" spans="1:7" ht="15" customHeight="1">
      <c r="A1628" s="19" t="s">
        <v>219</v>
      </c>
      <c r="B1628" s="20" t="s">
        <v>33</v>
      </c>
      <c r="C1628" s="20">
        <v>74</v>
      </c>
      <c r="D1628" s="21" t="s">
        <v>47</v>
      </c>
      <c r="E1628" s="21" t="s">
        <v>35</v>
      </c>
      <c r="F1628" s="20">
        <v>0.35</v>
      </c>
      <c r="G1628" s="22">
        <f>C1628*F1628</f>
        <v>25.9</v>
      </c>
    </row>
    <row r="1629" spans="1:7" ht="15" customHeight="1">
      <c r="A1629" s="19" t="s">
        <v>219</v>
      </c>
      <c r="B1629" s="20" t="s">
        <v>36</v>
      </c>
      <c r="C1629" s="20">
        <v>78</v>
      </c>
      <c r="D1629" s="21" t="s">
        <v>59</v>
      </c>
      <c r="E1629" s="21" t="s">
        <v>38</v>
      </c>
      <c r="F1629" s="20">
        <v>0.35</v>
      </c>
      <c r="G1629" s="22">
        <f>C1629*F1629</f>
        <v>27.299999999999997</v>
      </c>
    </row>
    <row r="1630" spans="1:7" ht="15" customHeight="1">
      <c r="A1630" s="19" t="s">
        <v>220</v>
      </c>
      <c r="B1630" s="20" t="s">
        <v>8</v>
      </c>
      <c r="C1630" s="20">
        <v>65</v>
      </c>
      <c r="D1630" s="21" t="s">
        <v>40</v>
      </c>
      <c r="E1630" s="21" t="s">
        <v>10</v>
      </c>
      <c r="F1630" s="20">
        <v>0.15</v>
      </c>
      <c r="G1630" s="22">
        <f>C1630*F1630</f>
        <v>9.75</v>
      </c>
    </row>
    <row r="1631" spans="1:7" ht="15" customHeight="1">
      <c r="A1631" s="19" t="s">
        <v>220</v>
      </c>
      <c r="B1631" s="20" t="s">
        <v>11</v>
      </c>
      <c r="C1631" s="20">
        <v>63</v>
      </c>
      <c r="D1631" s="21" t="s">
        <v>15</v>
      </c>
      <c r="E1631" s="21" t="s">
        <v>13</v>
      </c>
      <c r="F1631" s="20">
        <v>0.2</v>
      </c>
      <c r="G1631" s="22">
        <f>C1631*F1631</f>
        <v>12.600000000000001</v>
      </c>
    </row>
    <row r="1632" spans="1:7" ht="15" customHeight="1">
      <c r="A1632" s="19" t="s">
        <v>220</v>
      </c>
      <c r="B1632" s="20" t="s">
        <v>14</v>
      </c>
      <c r="C1632" s="20">
        <v>61</v>
      </c>
      <c r="D1632" s="21" t="s">
        <v>15</v>
      </c>
      <c r="E1632" s="21" t="s">
        <v>13</v>
      </c>
      <c r="F1632" s="20">
        <v>0.25</v>
      </c>
      <c r="G1632" s="22">
        <f>C1632*F1632</f>
        <v>15.25</v>
      </c>
    </row>
    <row r="1633" spans="1:7" ht="15" customHeight="1">
      <c r="A1633" s="19" t="s">
        <v>220</v>
      </c>
      <c r="B1633" s="20" t="s">
        <v>16</v>
      </c>
      <c r="C1633" s="20">
        <v>66</v>
      </c>
      <c r="D1633" s="21" t="s">
        <v>42</v>
      </c>
      <c r="E1633" s="21" t="s">
        <v>18</v>
      </c>
      <c r="F1633" s="20">
        <v>0.4</v>
      </c>
      <c r="G1633" s="22">
        <f>C1633*F1633</f>
        <v>26.400000000000002</v>
      </c>
    </row>
    <row r="1634" spans="1:7" ht="15" customHeight="1">
      <c r="A1634" s="19" t="s">
        <v>220</v>
      </c>
      <c r="B1634" s="20" t="s">
        <v>19</v>
      </c>
      <c r="C1634" s="20">
        <v>71</v>
      </c>
      <c r="D1634" s="21" t="s">
        <v>43</v>
      </c>
      <c r="E1634" s="21" t="s">
        <v>21</v>
      </c>
      <c r="F1634" s="20">
        <v>0.2</v>
      </c>
      <c r="G1634" s="22">
        <f>C1634*F1634</f>
        <v>14.200000000000001</v>
      </c>
    </row>
    <row r="1635" spans="1:7" ht="15" customHeight="1">
      <c r="A1635" s="19" t="s">
        <v>220</v>
      </c>
      <c r="B1635" s="20" t="s">
        <v>22</v>
      </c>
      <c r="C1635" s="20">
        <v>70</v>
      </c>
      <c r="D1635" s="21" t="s">
        <v>44</v>
      </c>
      <c r="E1635" s="21" t="s">
        <v>24</v>
      </c>
      <c r="F1635" s="20">
        <v>0.3</v>
      </c>
      <c r="G1635" s="22">
        <f>C1635*F1635</f>
        <v>21</v>
      </c>
    </row>
    <row r="1636" spans="1:7" ht="15" customHeight="1">
      <c r="A1636" s="19" t="s">
        <v>220</v>
      </c>
      <c r="B1636" s="20" t="s">
        <v>25</v>
      </c>
      <c r="C1636" s="20">
        <v>71</v>
      </c>
      <c r="D1636" s="21" t="s">
        <v>45</v>
      </c>
      <c r="E1636" s="21" t="s">
        <v>27</v>
      </c>
      <c r="F1636" s="20">
        <v>0.5</v>
      </c>
      <c r="G1636" s="22">
        <f>C1636*F1636</f>
        <v>35.5</v>
      </c>
    </row>
    <row r="1637" spans="1:7" ht="15" customHeight="1">
      <c r="A1637" s="19" t="s">
        <v>220</v>
      </c>
      <c r="B1637" s="20" t="s">
        <v>28</v>
      </c>
      <c r="C1637" s="20">
        <v>66</v>
      </c>
      <c r="D1637" s="21" t="s">
        <v>46</v>
      </c>
      <c r="E1637" s="21" t="s">
        <v>30</v>
      </c>
      <c r="F1637" s="20">
        <v>0.1</v>
      </c>
      <c r="G1637" s="22">
        <f>C1637*F1637</f>
        <v>6.6000000000000005</v>
      </c>
    </row>
    <row r="1638" spans="1:7" ht="15" customHeight="1">
      <c r="A1638" s="19" t="s">
        <v>220</v>
      </c>
      <c r="B1638" s="20" t="s">
        <v>31</v>
      </c>
      <c r="C1638" s="20">
        <v>66</v>
      </c>
      <c r="D1638" s="21" t="s">
        <v>46</v>
      </c>
      <c r="E1638" s="21" t="s">
        <v>30</v>
      </c>
      <c r="F1638" s="20">
        <v>0.2</v>
      </c>
      <c r="G1638" s="22">
        <f>C1638*F1638</f>
        <v>13.200000000000001</v>
      </c>
    </row>
    <row r="1639" spans="1:7" ht="15" customHeight="1">
      <c r="A1639" s="19" t="s">
        <v>220</v>
      </c>
      <c r="B1639" s="20" t="s">
        <v>33</v>
      </c>
      <c r="C1639" s="20">
        <v>69</v>
      </c>
      <c r="D1639" s="21" t="s">
        <v>47</v>
      </c>
      <c r="E1639" s="21" t="s">
        <v>35</v>
      </c>
      <c r="F1639" s="20">
        <v>0.35</v>
      </c>
      <c r="G1639" s="22">
        <f>C1639*F1639</f>
        <v>24.15</v>
      </c>
    </row>
    <row r="1640" spans="1:7" ht="15" customHeight="1">
      <c r="A1640" s="19" t="s">
        <v>220</v>
      </c>
      <c r="B1640" s="20" t="s">
        <v>36</v>
      </c>
      <c r="C1640" s="20">
        <v>64</v>
      </c>
      <c r="D1640" s="21" t="s">
        <v>48</v>
      </c>
      <c r="E1640" s="21" t="s">
        <v>38</v>
      </c>
      <c r="F1640" s="20">
        <v>0.35</v>
      </c>
      <c r="G1640" s="22">
        <f>C1640*F1640</f>
        <v>22.4</v>
      </c>
    </row>
    <row r="1641" spans="1:7" ht="15" customHeight="1">
      <c r="A1641" s="19" t="s">
        <v>221</v>
      </c>
      <c r="B1641" s="20" t="s">
        <v>8</v>
      </c>
      <c r="C1641" s="20">
        <v>88</v>
      </c>
      <c r="D1641" s="21" t="s">
        <v>74</v>
      </c>
      <c r="E1641" s="21" t="s">
        <v>10</v>
      </c>
      <c r="F1641" s="20">
        <v>0.15</v>
      </c>
      <c r="G1641" s="22">
        <f>C1641*F1641</f>
        <v>13.2</v>
      </c>
    </row>
    <row r="1642" spans="1:7" ht="15" customHeight="1">
      <c r="A1642" s="19" t="s">
        <v>221</v>
      </c>
      <c r="B1642" s="20" t="s">
        <v>11</v>
      </c>
      <c r="C1642" s="20">
        <v>84</v>
      </c>
      <c r="D1642" s="21" t="s">
        <v>61</v>
      </c>
      <c r="E1642" s="21" t="s">
        <v>13</v>
      </c>
      <c r="F1642" s="20">
        <v>0.2</v>
      </c>
      <c r="G1642" s="22">
        <f>C1642*F1642</f>
        <v>16.8</v>
      </c>
    </row>
    <row r="1643" spans="1:7" ht="15" customHeight="1">
      <c r="A1643" s="19" t="s">
        <v>221</v>
      </c>
      <c r="B1643" s="20" t="s">
        <v>14</v>
      </c>
      <c r="C1643" s="20">
        <v>83</v>
      </c>
      <c r="D1643" s="21" t="s">
        <v>61</v>
      </c>
      <c r="E1643" s="21" t="s">
        <v>13</v>
      </c>
      <c r="F1643" s="20">
        <v>0.25</v>
      </c>
      <c r="G1643" s="22">
        <f>C1643*F1643</f>
        <v>20.75</v>
      </c>
    </row>
    <row r="1644" spans="1:7" ht="15" customHeight="1">
      <c r="A1644" s="19" t="s">
        <v>221</v>
      </c>
      <c r="B1644" s="20" t="s">
        <v>16</v>
      </c>
      <c r="C1644" s="20">
        <v>88</v>
      </c>
      <c r="D1644" s="21" t="s">
        <v>76</v>
      </c>
      <c r="E1644" s="21" t="s">
        <v>18</v>
      </c>
      <c r="F1644" s="20">
        <v>0.4</v>
      </c>
      <c r="G1644" s="22">
        <f>C1644*F1644</f>
        <v>35.200000000000003</v>
      </c>
    </row>
    <row r="1645" spans="1:7" ht="15" customHeight="1">
      <c r="A1645" s="19" t="s">
        <v>221</v>
      </c>
      <c r="B1645" s="20" t="s">
        <v>19</v>
      </c>
      <c r="C1645" s="20">
        <v>87</v>
      </c>
      <c r="D1645" s="21" t="s">
        <v>88</v>
      </c>
      <c r="E1645" s="21" t="s">
        <v>21</v>
      </c>
      <c r="F1645" s="20">
        <v>0.2</v>
      </c>
      <c r="G1645" s="22">
        <f>C1645*F1645</f>
        <v>17.400000000000002</v>
      </c>
    </row>
    <row r="1646" spans="1:7" ht="15" customHeight="1">
      <c r="A1646" s="19" t="s">
        <v>221</v>
      </c>
      <c r="B1646" s="20" t="s">
        <v>22</v>
      </c>
      <c r="C1646" s="20">
        <v>87</v>
      </c>
      <c r="D1646" s="21" t="s">
        <v>97</v>
      </c>
      <c r="E1646" s="21" t="s">
        <v>24</v>
      </c>
      <c r="F1646" s="20">
        <v>0.3</v>
      </c>
      <c r="G1646" s="22">
        <f>C1646*F1646</f>
        <v>26.099999999999998</v>
      </c>
    </row>
    <row r="1647" spans="1:7" ht="15" customHeight="1">
      <c r="A1647" s="19" t="s">
        <v>221</v>
      </c>
      <c r="B1647" s="20" t="s">
        <v>25</v>
      </c>
      <c r="C1647" s="20">
        <v>85</v>
      </c>
      <c r="D1647" s="21" t="s">
        <v>89</v>
      </c>
      <c r="E1647" s="21" t="s">
        <v>27</v>
      </c>
      <c r="F1647" s="20">
        <v>0.5</v>
      </c>
      <c r="G1647" s="22">
        <f>C1647*F1647</f>
        <v>42.5</v>
      </c>
    </row>
    <row r="1648" spans="1:7" ht="15" customHeight="1">
      <c r="A1648" s="19" t="s">
        <v>221</v>
      </c>
      <c r="B1648" s="20" t="s">
        <v>28</v>
      </c>
      <c r="C1648" s="20">
        <v>86</v>
      </c>
      <c r="D1648" s="21" t="s">
        <v>90</v>
      </c>
      <c r="E1648" s="21" t="s">
        <v>30</v>
      </c>
      <c r="F1648" s="20">
        <v>0.1</v>
      </c>
      <c r="G1648" s="22">
        <f>C1648*F1648</f>
        <v>8.6</v>
      </c>
    </row>
    <row r="1649" spans="1:7" ht="15" customHeight="1">
      <c r="A1649" s="19" t="s">
        <v>221</v>
      </c>
      <c r="B1649" s="20" t="s">
        <v>31</v>
      </c>
      <c r="C1649" s="20">
        <v>88</v>
      </c>
      <c r="D1649" s="21" t="s">
        <v>90</v>
      </c>
      <c r="E1649" s="21" t="s">
        <v>30</v>
      </c>
      <c r="F1649" s="20">
        <v>0.2</v>
      </c>
      <c r="G1649" s="22">
        <f>C1649*F1649</f>
        <v>17.600000000000001</v>
      </c>
    </row>
    <row r="1650" spans="1:7" ht="15" customHeight="1">
      <c r="A1650" s="19" t="s">
        <v>221</v>
      </c>
      <c r="B1650" s="20" t="s">
        <v>33</v>
      </c>
      <c r="C1650" s="20">
        <v>84</v>
      </c>
      <c r="D1650" s="21" t="s">
        <v>63</v>
      </c>
      <c r="E1650" s="21" t="s">
        <v>35</v>
      </c>
      <c r="F1650" s="20">
        <v>0.35</v>
      </c>
      <c r="G1650" s="22">
        <f>C1650*F1650</f>
        <v>29.4</v>
      </c>
    </row>
    <row r="1651" spans="1:7" ht="15" customHeight="1">
      <c r="A1651" s="23" t="s">
        <v>221</v>
      </c>
      <c r="B1651" s="24" t="s">
        <v>36</v>
      </c>
      <c r="C1651" s="24">
        <v>85</v>
      </c>
      <c r="D1651" s="25" t="s">
        <v>111</v>
      </c>
      <c r="E1651" s="25" t="s">
        <v>38</v>
      </c>
      <c r="F1651" s="24">
        <v>0.35</v>
      </c>
      <c r="G1651" s="26">
        <f>C1651*F1651</f>
        <v>29.749999999999996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1"/>
  <sheetViews>
    <sheetView zoomScaleNormal="100" zoomScaleSheetLayoutView="100" workbookViewId="0"/>
  </sheetViews>
  <sheetFormatPr defaultRowHeight="15"/>
  <cols>
    <col min="1" max="1" width="12" customWidth="1"/>
    <col min="2" max="5" width="16" customWidth="1"/>
    <col min="6" max="6" width="18" customWidth="1"/>
  </cols>
  <sheetData>
    <row r="1" spans="1:6" ht="15" customHeight="1">
      <c r="A1" s="2" t="s">
        <v>0</v>
      </c>
      <c r="B1" s="4" t="s">
        <v>222</v>
      </c>
      <c r="C1" s="4" t="s">
        <v>223</v>
      </c>
      <c r="D1" s="4" t="s">
        <v>224</v>
      </c>
      <c r="E1" s="4" t="s">
        <v>225</v>
      </c>
      <c r="F1" s="2" t="s">
        <v>226</v>
      </c>
    </row>
    <row r="2" spans="1:6" ht="15" customHeight="1">
      <c r="A2" s="6" t="s">
        <v>7</v>
      </c>
      <c r="B2" s="7">
        <f>SUM(Results!G2:G5)</f>
        <v>50.65</v>
      </c>
      <c r="C2" s="7">
        <f>SUM(Results!G6:G8)</f>
        <v>50.8</v>
      </c>
      <c r="D2" s="7">
        <f>SUM(Results!G9:G12)</f>
        <v>48.399999999999991</v>
      </c>
      <c r="E2" s="7">
        <f>AVERAGE(B2:D2)</f>
        <v>49.949999999999989</v>
      </c>
      <c r="F2" s="8" t="str">
        <f>IF(E2&gt;=80,"HD/D range",IF(E2&gt;=70,"D range",IF(E2&gt;=60,"C range",IF(E2&gt;=50,"P range","At risk"))))</f>
        <v>At risk</v>
      </c>
    </row>
    <row r="3" spans="1:6" ht="15" customHeight="1">
      <c r="A3" s="9" t="s">
        <v>39</v>
      </c>
      <c r="B3" s="10">
        <f>SUM(Results!G13:G16)</f>
        <v>71.2</v>
      </c>
      <c r="C3" s="10">
        <f>SUM(Results!G17:G19)</f>
        <v>71</v>
      </c>
      <c r="D3" s="10">
        <f>SUM(Results!G20:G23)</f>
        <v>65.699999999999989</v>
      </c>
      <c r="E3" s="10">
        <f>AVERAGE(B3:D3)</f>
        <v>69.3</v>
      </c>
      <c r="F3" s="11" t="str">
        <f>IF(E3&gt;=80,"HD/D range",IF(E3&gt;=70,"D range",IF(E3&gt;=60,"C range",IF(E3&gt;=50,"P range","At risk"))))</f>
        <v>C range</v>
      </c>
    </row>
    <row r="4" spans="1:6" ht="15" customHeight="1">
      <c r="A4" s="9" t="s">
        <v>49</v>
      </c>
      <c r="B4" s="10">
        <f>SUM(Results!G24:G27)</f>
        <v>62.650000000000006</v>
      </c>
      <c r="C4" s="10">
        <f>SUM(Results!G28:G30)</f>
        <v>64.099999999999994</v>
      </c>
      <c r="D4" s="10">
        <f>SUM(Results!G31:G34)</f>
        <v>65.399999999999991</v>
      </c>
      <c r="E4" s="10">
        <f>AVERAGE(B4:D4)</f>
        <v>64.05</v>
      </c>
      <c r="F4" s="11" t="str">
        <f>IF(E4&gt;=80,"HD/D range",IF(E4&gt;=70,"D range",IF(E4&gt;=60,"C range",IF(E4&gt;=50,"P range","At risk"))))</f>
        <v>C range</v>
      </c>
    </row>
    <row r="5" spans="1:6" ht="15" customHeight="1">
      <c r="A5" s="9" t="s">
        <v>52</v>
      </c>
      <c r="B5" s="10">
        <f>SUM(Results!G35:G38)</f>
        <v>52.600000000000009</v>
      </c>
      <c r="C5" s="10">
        <f>SUM(Results!G39:G41)</f>
        <v>48</v>
      </c>
      <c r="D5" s="10">
        <f>SUM(Results!G42:G45)</f>
        <v>54.599999999999994</v>
      </c>
      <c r="E5" s="10">
        <f>AVERAGE(B5:D5)</f>
        <v>51.733333333333327</v>
      </c>
      <c r="F5" s="11" t="str">
        <f>IF(E5&gt;=80,"HD/D range",IF(E5&gt;=70,"D range",IF(E5&gt;=60,"C range",IF(E5&gt;=50,"P range","At risk"))))</f>
        <v>P range</v>
      </c>
    </row>
    <row r="6" spans="1:6" ht="15" customHeight="1">
      <c r="A6" s="9" t="s">
        <v>55</v>
      </c>
      <c r="B6" s="10">
        <f>SUM(Results!G46:G49)</f>
        <v>73.150000000000006</v>
      </c>
      <c r="C6" s="10">
        <f>SUM(Results!G50:G52)</f>
        <v>73.900000000000006</v>
      </c>
      <c r="D6" s="10">
        <f>SUM(Results!G53:G56)</f>
        <v>73.75</v>
      </c>
      <c r="E6" s="10">
        <f>AVERAGE(B6:D6)</f>
        <v>73.600000000000009</v>
      </c>
      <c r="F6" s="11" t="str">
        <f>IF(E6&gt;=80,"HD/D range",IF(E6&gt;=70,"D range",IF(E6&gt;=60,"C range",IF(E6&gt;=50,"P range","At risk"))))</f>
        <v>D range</v>
      </c>
    </row>
    <row r="7" spans="1:6" ht="15" customHeight="1">
      <c r="A7" s="9" t="s">
        <v>60</v>
      </c>
      <c r="B7" s="10">
        <f>SUM(Results!G57:G60)</f>
        <v>73.75</v>
      </c>
      <c r="C7" s="10">
        <f>SUM(Results!G61:G63)</f>
        <v>73.2</v>
      </c>
      <c r="D7" s="10">
        <f>SUM(Results!G64:G67)</f>
        <v>74.849999999999994</v>
      </c>
      <c r="E7" s="10">
        <f>AVERAGE(B7:D7)</f>
        <v>73.933333333333323</v>
      </c>
      <c r="F7" s="11" t="str">
        <f>IF(E7&gt;=80,"HD/D range",IF(E7&gt;=70,"D range",IF(E7&gt;=60,"C range",IF(E7&gt;=50,"P range","At risk"))))</f>
        <v>D range</v>
      </c>
    </row>
    <row r="8" spans="1:6" ht="15" customHeight="1">
      <c r="A8" s="9" t="s">
        <v>64</v>
      </c>
      <c r="B8" s="10">
        <f>SUM(Results!G68:G71)</f>
        <v>52.45</v>
      </c>
      <c r="C8" s="10">
        <f>SUM(Results!G72:G74)</f>
        <v>56.1</v>
      </c>
      <c r="D8" s="10">
        <f>SUM(Results!G75:G78)</f>
        <v>52.05</v>
      </c>
      <c r="E8" s="10">
        <f>AVERAGE(B8:D8)</f>
        <v>53.533333333333339</v>
      </c>
      <c r="F8" s="11" t="str">
        <f>IF(E8&gt;=80,"HD/D range",IF(E8&gt;=70,"D range",IF(E8&gt;=60,"C range",IF(E8&gt;=50,"P range","At risk"))))</f>
        <v>P range</v>
      </c>
    </row>
    <row r="9" spans="1:6" ht="15" customHeight="1">
      <c r="A9" s="9" t="s">
        <v>65</v>
      </c>
      <c r="B9" s="10">
        <f>SUM(Results!G79:G82)</f>
        <v>76.550000000000011</v>
      </c>
      <c r="C9" s="10">
        <f>SUM(Results!G83:G85)</f>
        <v>79.3</v>
      </c>
      <c r="D9" s="10">
        <f>SUM(Results!G86:G89)</f>
        <v>80.349999999999994</v>
      </c>
      <c r="E9" s="10">
        <f>AVERAGE(B9:D9)</f>
        <v>78.733333333333334</v>
      </c>
      <c r="F9" s="11" t="str">
        <f>IF(E9&gt;=80,"HD/D range",IF(E9&gt;=70,"D range",IF(E9&gt;=60,"C range",IF(E9&gt;=50,"P range","At risk"))))</f>
        <v>D range</v>
      </c>
    </row>
    <row r="10" spans="1:6" ht="15" customHeight="1">
      <c r="A10" s="9" t="s">
        <v>68</v>
      </c>
      <c r="B10" s="10">
        <f>SUM(Results!G90:G93)</f>
        <v>65.2</v>
      </c>
      <c r="C10" s="10">
        <f>SUM(Results!G94:G96)</f>
        <v>68.7</v>
      </c>
      <c r="D10" s="10">
        <f>SUM(Results!G97:G100)</f>
        <v>71.400000000000006</v>
      </c>
      <c r="E10" s="10">
        <f>AVERAGE(B10:D10)</f>
        <v>68.433333333333337</v>
      </c>
      <c r="F10" s="11" t="str">
        <f>IF(E10&gt;=80,"HD/D range",IF(E10&gt;=70,"D range",IF(E10&gt;=60,"C range",IF(E10&gt;=50,"P range","At risk"))))</f>
        <v>C range</v>
      </c>
    </row>
    <row r="11" spans="1:6" ht="15" customHeight="1">
      <c r="A11" s="9" t="s">
        <v>69</v>
      </c>
      <c r="B11" s="10">
        <f>SUM(Results!G101:G104)</f>
        <v>67.099999999999994</v>
      </c>
      <c r="C11" s="10">
        <f>SUM(Results!G105:G107)</f>
        <v>66.400000000000006</v>
      </c>
      <c r="D11" s="10">
        <f>SUM(Results!G108:G111)</f>
        <v>66.05</v>
      </c>
      <c r="E11" s="10">
        <f>AVERAGE(B11:D11)</f>
        <v>66.516666666666666</v>
      </c>
      <c r="F11" s="11" t="str">
        <f>IF(E11&gt;=80,"HD/D range",IF(E11&gt;=70,"D range",IF(E11&gt;=60,"C range",IF(E11&gt;=50,"P range","At risk"))))</f>
        <v>C range</v>
      </c>
    </row>
    <row r="12" spans="1:6" ht="15" customHeight="1">
      <c r="A12" s="9" t="s">
        <v>70</v>
      </c>
      <c r="B12" s="10">
        <f>SUM(Results!G112:G115)</f>
        <v>52.05</v>
      </c>
      <c r="C12" s="10">
        <f>SUM(Results!G116:G118)</f>
        <v>55.7</v>
      </c>
      <c r="D12" s="10">
        <f>SUM(Results!G119:G122)</f>
        <v>55.8</v>
      </c>
      <c r="E12" s="10">
        <f>AVERAGE(B12:D12)</f>
        <v>54.516666666666673</v>
      </c>
      <c r="F12" s="11" t="str">
        <f>IF(E12&gt;=80,"HD/D range",IF(E12&gt;=70,"D range",IF(E12&gt;=60,"C range",IF(E12&gt;=50,"P range","At risk"))))</f>
        <v>P range</v>
      </c>
    </row>
    <row r="13" spans="1:6" ht="15" customHeight="1">
      <c r="A13" s="9" t="s">
        <v>71</v>
      </c>
      <c r="B13" s="10">
        <f>SUM(Results!G123:G126)</f>
        <v>63.600000000000009</v>
      </c>
      <c r="C13" s="10">
        <f>SUM(Results!G127:G129)</f>
        <v>70.2</v>
      </c>
      <c r="D13" s="10">
        <f>SUM(Results!G130:G133)</f>
        <v>61.75</v>
      </c>
      <c r="E13" s="10">
        <f>AVERAGE(B13:D13)</f>
        <v>65.183333333333337</v>
      </c>
      <c r="F13" s="11" t="str">
        <f>IF(E13&gt;=80,"HD/D range",IF(E13&gt;=70,"D range",IF(E13&gt;=60,"C range",IF(E13&gt;=50,"P range","At risk"))))</f>
        <v>C range</v>
      </c>
    </row>
    <row r="14" spans="1:6" ht="15" customHeight="1">
      <c r="A14" s="9" t="s">
        <v>72</v>
      </c>
      <c r="B14" s="10">
        <f>SUM(Results!G134:G137)</f>
        <v>67.45</v>
      </c>
      <c r="C14" s="10">
        <f>SUM(Results!G138:G140)</f>
        <v>61.9</v>
      </c>
      <c r="D14" s="10">
        <f>SUM(Results!G141:G144)</f>
        <v>59.400000000000006</v>
      </c>
      <c r="E14" s="10">
        <f>AVERAGE(B14:D14)</f>
        <v>62.916666666666664</v>
      </c>
      <c r="F14" s="11" t="str">
        <f>IF(E14&gt;=80,"HD/D range",IF(E14&gt;=70,"D range",IF(E14&gt;=60,"C range",IF(E14&gt;=50,"P range","At risk"))))</f>
        <v>C range</v>
      </c>
    </row>
    <row r="15" spans="1:6" ht="15" customHeight="1">
      <c r="A15" s="9" t="s">
        <v>73</v>
      </c>
      <c r="B15" s="10">
        <f>SUM(Results!G145:G148)</f>
        <v>85.5</v>
      </c>
      <c r="C15" s="10">
        <f>SUM(Results!G149:G151)</f>
        <v>77.400000000000006</v>
      </c>
      <c r="D15" s="10">
        <f>SUM(Results!G152:G155)</f>
        <v>79.849999999999994</v>
      </c>
      <c r="E15" s="10">
        <f>AVERAGE(B15:D15)</f>
        <v>80.916666666666671</v>
      </c>
      <c r="F15" s="11" t="str">
        <f>IF(E15&gt;=80,"HD/D range",IF(E15&gt;=70,"D range",IF(E15&gt;=60,"C range",IF(E15&gt;=50,"P range","At risk"))))</f>
        <v>HD/D range</v>
      </c>
    </row>
    <row r="16" spans="1:6" ht="15" customHeight="1">
      <c r="A16" s="9" t="s">
        <v>77</v>
      </c>
      <c r="B16" s="10">
        <f>SUM(Results!G156:G159)</f>
        <v>52.25</v>
      </c>
      <c r="C16" s="10">
        <f>SUM(Results!G160:G162)</f>
        <v>57.2</v>
      </c>
      <c r="D16" s="10">
        <f>SUM(Results!G163:G166)</f>
        <v>54.65</v>
      </c>
      <c r="E16" s="10">
        <f>AVERAGE(B16:D16)</f>
        <v>54.699999999999996</v>
      </c>
      <c r="F16" s="11" t="str">
        <f>IF(E16&gt;=80,"HD/D range",IF(E16&gt;=70,"D range",IF(E16&gt;=60,"C range",IF(E16&gt;=50,"P range","At risk"))))</f>
        <v>P range</v>
      </c>
    </row>
    <row r="17" spans="1:6" ht="15" customHeight="1">
      <c r="A17" s="9" t="s">
        <v>78</v>
      </c>
      <c r="B17" s="10">
        <f>SUM(Results!G167:G170)</f>
        <v>63.099999999999994</v>
      </c>
      <c r="C17" s="10">
        <f>SUM(Results!G171:G173)</f>
        <v>66.599999999999994</v>
      </c>
      <c r="D17" s="10">
        <f>SUM(Results!G174:G177)</f>
        <v>60.3</v>
      </c>
      <c r="E17" s="10">
        <f>AVERAGE(B17:D17)</f>
        <v>63.333333333333336</v>
      </c>
      <c r="F17" s="11" t="str">
        <f>IF(E17&gt;=80,"HD/D range",IF(E17&gt;=70,"D range",IF(E17&gt;=60,"C range",IF(E17&gt;=50,"P range","At risk"))))</f>
        <v>C range</v>
      </c>
    </row>
    <row r="18" spans="1:6" ht="15" customHeight="1">
      <c r="A18" s="9" t="s">
        <v>79</v>
      </c>
      <c r="B18" s="10">
        <f>SUM(Results!G178:G181)</f>
        <v>66.150000000000006</v>
      </c>
      <c r="C18" s="10">
        <f>SUM(Results!G182:G184)</f>
        <v>59.1</v>
      </c>
      <c r="D18" s="10">
        <f>SUM(Results!G185:G188)</f>
        <v>59.150000000000006</v>
      </c>
      <c r="E18" s="10">
        <f>AVERAGE(B18:D18)</f>
        <v>61.466666666666669</v>
      </c>
      <c r="F18" s="11" t="str">
        <f>IF(E18&gt;=80,"HD/D range",IF(E18&gt;=70,"D range",IF(E18&gt;=60,"C range",IF(E18&gt;=50,"P range","At risk"))))</f>
        <v>C range</v>
      </c>
    </row>
    <row r="19" spans="1:6" ht="15" customHeight="1">
      <c r="A19" s="9" t="s">
        <v>80</v>
      </c>
      <c r="B19" s="10">
        <f>SUM(Results!G189:G192)</f>
        <v>61.550000000000004</v>
      </c>
      <c r="C19" s="10">
        <f>SUM(Results!G193:G195)</f>
        <v>59.400000000000006</v>
      </c>
      <c r="D19" s="10">
        <f>SUM(Results!G196:G199)</f>
        <v>60.55</v>
      </c>
      <c r="E19" s="10">
        <f>AVERAGE(B19:D19)</f>
        <v>60.5</v>
      </c>
      <c r="F19" s="11" t="str">
        <f>IF(E19&gt;=80,"HD/D range",IF(E19&gt;=70,"D range",IF(E19&gt;=60,"C range",IF(E19&gt;=50,"P range","At risk"))))</f>
        <v>C range</v>
      </c>
    </row>
    <row r="20" spans="1:6" ht="15" customHeight="1">
      <c r="A20" s="9" t="s">
        <v>81</v>
      </c>
      <c r="B20" s="10">
        <f>SUM(Results!G200:G203)</f>
        <v>70.650000000000006</v>
      </c>
      <c r="C20" s="10">
        <f>SUM(Results!G204:G206)</f>
        <v>69.400000000000006</v>
      </c>
      <c r="D20" s="10">
        <f>SUM(Results!G207:G210)</f>
        <v>68.900000000000006</v>
      </c>
      <c r="E20" s="10">
        <f>AVERAGE(B20:D20)</f>
        <v>69.650000000000006</v>
      </c>
      <c r="F20" s="11" t="str">
        <f>IF(E20&gt;=80,"HD/D range",IF(E20&gt;=70,"D range",IF(E20&gt;=60,"C range",IF(E20&gt;=50,"P range","At risk"))))</f>
        <v>C range</v>
      </c>
    </row>
    <row r="21" spans="1:6" ht="15" customHeight="1">
      <c r="A21" s="9" t="s">
        <v>82</v>
      </c>
      <c r="B21" s="10">
        <f>SUM(Results!G211:G214)</f>
        <v>79</v>
      </c>
      <c r="C21" s="10">
        <f>SUM(Results!G215:G217)</f>
        <v>81.5</v>
      </c>
      <c r="D21" s="10">
        <f>SUM(Results!G218:G221)</f>
        <v>80.400000000000006</v>
      </c>
      <c r="E21" s="10">
        <f>AVERAGE(B21:D21)</f>
        <v>80.3</v>
      </c>
      <c r="F21" s="11" t="str">
        <f>IF(E21&gt;=80,"HD/D range",IF(E21&gt;=70,"D range",IF(E21&gt;=60,"C range",IF(E21&gt;=50,"P range","At risk"))))</f>
        <v>HD/D range</v>
      </c>
    </row>
    <row r="22" spans="1:6" ht="15" customHeight="1">
      <c r="A22" s="9" t="s">
        <v>83</v>
      </c>
      <c r="B22" s="10">
        <f>SUM(Results!G222:G225)</f>
        <v>73.5</v>
      </c>
      <c r="C22" s="10">
        <f>SUM(Results!G226:G228)</f>
        <v>70</v>
      </c>
      <c r="D22" s="10">
        <f>SUM(Results!G229:G232)</f>
        <v>70.5</v>
      </c>
      <c r="E22" s="10">
        <f>AVERAGE(B22:D22)</f>
        <v>71.333333333333329</v>
      </c>
      <c r="F22" s="11" t="str">
        <f>IF(E22&gt;=80,"HD/D range",IF(E22&gt;=70,"D range",IF(E22&gt;=60,"C range",IF(E22&gt;=50,"P range","At risk"))))</f>
        <v>D range</v>
      </c>
    </row>
    <row r="23" spans="1:6" ht="15" customHeight="1">
      <c r="A23" s="9" t="s">
        <v>84</v>
      </c>
      <c r="B23" s="10">
        <f>SUM(Results!G233:G236)</f>
        <v>73.45</v>
      </c>
      <c r="C23" s="10">
        <f>SUM(Results!G237:G239)</f>
        <v>71</v>
      </c>
      <c r="D23" s="10">
        <f>SUM(Results!G240:G243)</f>
        <v>77.05</v>
      </c>
      <c r="E23" s="10">
        <f>AVERAGE(B23:D23)</f>
        <v>73.833333333333329</v>
      </c>
      <c r="F23" s="11" t="str">
        <f>IF(E23&gt;=80,"HD/D range",IF(E23&gt;=70,"D range",IF(E23&gt;=60,"C range",IF(E23&gt;=50,"P range","At risk"))))</f>
        <v>D range</v>
      </c>
    </row>
    <row r="24" spans="1:6" ht="15" customHeight="1">
      <c r="A24" s="9" t="s">
        <v>85</v>
      </c>
      <c r="B24" s="10">
        <f>SUM(Results!G244:G247)</f>
        <v>66.05</v>
      </c>
      <c r="C24" s="10">
        <f>SUM(Results!G248:G250)</f>
        <v>60.5</v>
      </c>
      <c r="D24" s="10">
        <f>SUM(Results!G251:G254)</f>
        <v>61.5</v>
      </c>
      <c r="E24" s="10">
        <f>AVERAGE(B24:D24)</f>
        <v>62.683333333333337</v>
      </c>
      <c r="F24" s="11" t="str">
        <f>IF(E24&gt;=80,"HD/D range",IF(E24&gt;=70,"D range",IF(E24&gt;=60,"C range",IF(E24&gt;=50,"P range","At risk"))))</f>
        <v>C range</v>
      </c>
    </row>
    <row r="25" spans="1:6" ht="15" customHeight="1">
      <c r="A25" s="9" t="s">
        <v>86</v>
      </c>
      <c r="B25" s="10">
        <f>SUM(Results!G255:G258)</f>
        <v>70.400000000000006</v>
      </c>
      <c r="C25" s="10">
        <f>SUM(Results!G259:G261)</f>
        <v>71</v>
      </c>
      <c r="D25" s="10">
        <f>SUM(Results!G262:G265)</f>
        <v>76.7</v>
      </c>
      <c r="E25" s="10">
        <f>AVERAGE(B25:D25)</f>
        <v>72.7</v>
      </c>
      <c r="F25" s="11" t="str">
        <f>IF(E25&gt;=80,"HD/D range",IF(E25&gt;=70,"D range",IF(E25&gt;=60,"C range",IF(E25&gt;=50,"P range","At risk"))))</f>
        <v>D range</v>
      </c>
    </row>
    <row r="26" spans="1:6" ht="15" customHeight="1">
      <c r="A26" s="9" t="s">
        <v>87</v>
      </c>
      <c r="B26" s="10">
        <f>SUM(Results!G266:G269)</f>
        <v>81.45</v>
      </c>
      <c r="C26" s="10">
        <f>SUM(Results!G270:G272)</f>
        <v>83.2</v>
      </c>
      <c r="D26" s="10">
        <f>SUM(Results!G273:G276)</f>
        <v>83.149999999999991</v>
      </c>
      <c r="E26" s="10">
        <f>AVERAGE(B26:D26)</f>
        <v>82.600000000000009</v>
      </c>
      <c r="F26" s="11" t="str">
        <f>IF(E26&gt;=80,"HD/D range",IF(E26&gt;=70,"D range",IF(E26&gt;=60,"C range",IF(E26&gt;=50,"P range","At risk"))))</f>
        <v>HD/D range</v>
      </c>
    </row>
    <row r="27" spans="1:6" ht="15" customHeight="1">
      <c r="A27" s="9" t="s">
        <v>91</v>
      </c>
      <c r="B27" s="10">
        <f>SUM(Results!G277:G280)</f>
        <v>78.300000000000011</v>
      </c>
      <c r="C27" s="10">
        <f>SUM(Results!G281:G283)</f>
        <v>79.3</v>
      </c>
      <c r="D27" s="10">
        <f>SUM(Results!G284:G287)</f>
        <v>80.05</v>
      </c>
      <c r="E27" s="10">
        <f>AVERAGE(B27:D27)</f>
        <v>79.216666666666683</v>
      </c>
      <c r="F27" s="11" t="str">
        <f>IF(E27&gt;=80,"HD/D range",IF(E27&gt;=70,"D range",IF(E27&gt;=60,"C range",IF(E27&gt;=50,"P range","At risk"))))</f>
        <v>D range</v>
      </c>
    </row>
    <row r="28" spans="1:6" ht="15" customHeight="1">
      <c r="A28" s="9" t="s">
        <v>92</v>
      </c>
      <c r="B28" s="10">
        <f>SUM(Results!G288:G291)</f>
        <v>73.5</v>
      </c>
      <c r="C28" s="10">
        <f>SUM(Results!G292:G294)</f>
        <v>71</v>
      </c>
      <c r="D28" s="10">
        <f>SUM(Results!G295:G298)</f>
        <v>71.3</v>
      </c>
      <c r="E28" s="10">
        <f>AVERAGE(B28:D28)</f>
        <v>71.933333333333337</v>
      </c>
      <c r="F28" s="11" t="str">
        <f>IF(E28&gt;=80,"HD/D range",IF(E28&gt;=70,"D range",IF(E28&gt;=60,"C range",IF(E28&gt;=50,"P range","At risk"))))</f>
        <v>D range</v>
      </c>
    </row>
    <row r="29" spans="1:6" ht="15" customHeight="1">
      <c r="A29" s="9" t="s">
        <v>93</v>
      </c>
      <c r="B29" s="10">
        <f>SUM(Results!G299:G302)</f>
        <v>72.45</v>
      </c>
      <c r="C29" s="10">
        <f>SUM(Results!G303:G305)</f>
        <v>76.2</v>
      </c>
      <c r="D29" s="10">
        <f>SUM(Results!G306:G309)</f>
        <v>69.5</v>
      </c>
      <c r="E29" s="10">
        <f>AVERAGE(B29:D29)</f>
        <v>72.716666666666669</v>
      </c>
      <c r="F29" s="11" t="str">
        <f>IF(E29&gt;=80,"HD/D range",IF(E29&gt;=70,"D range",IF(E29&gt;=60,"C range",IF(E29&gt;=50,"P range","At risk"))))</f>
        <v>D range</v>
      </c>
    </row>
    <row r="30" spans="1:6" ht="15" customHeight="1">
      <c r="A30" s="9" t="s">
        <v>94</v>
      </c>
      <c r="B30" s="10">
        <f>SUM(Results!G310:G313)</f>
        <v>59.1</v>
      </c>
      <c r="C30" s="10">
        <f>SUM(Results!G314:G316)</f>
        <v>59.5</v>
      </c>
      <c r="D30" s="10">
        <f>SUM(Results!G317:G320)</f>
        <v>59.45</v>
      </c>
      <c r="E30" s="10">
        <f>AVERAGE(B30:D30)</f>
        <v>59.35</v>
      </c>
      <c r="F30" s="11" t="str">
        <f>IF(E30&gt;=80,"HD/D range",IF(E30&gt;=70,"D range",IF(E30&gt;=60,"C range",IF(E30&gt;=50,"P range","At risk"))))</f>
        <v>P range</v>
      </c>
    </row>
    <row r="31" spans="1:6" ht="15" customHeight="1">
      <c r="A31" s="9" t="s">
        <v>95</v>
      </c>
      <c r="B31" s="10">
        <f>SUM(Results!G321:G324)</f>
        <v>64.150000000000006</v>
      </c>
      <c r="C31" s="10">
        <f>SUM(Results!G325:G327)</f>
        <v>63.900000000000006</v>
      </c>
      <c r="D31" s="10">
        <f>SUM(Results!G328:G331)</f>
        <v>65.25</v>
      </c>
      <c r="E31" s="10">
        <f>AVERAGE(B31:D31)</f>
        <v>64.433333333333337</v>
      </c>
      <c r="F31" s="11" t="str">
        <f>IF(E31&gt;=80,"HD/D range",IF(E31&gt;=70,"D range",IF(E31&gt;=60,"C range",IF(E31&gt;=50,"P range","At risk"))))</f>
        <v>C range</v>
      </c>
    </row>
    <row r="32" spans="1:6" ht="15" customHeight="1">
      <c r="A32" s="9" t="s">
        <v>96</v>
      </c>
      <c r="B32" s="10">
        <f>SUM(Results!G332:G335)</f>
        <v>77.900000000000006</v>
      </c>
      <c r="C32" s="10">
        <f>SUM(Results!G336:G338)</f>
        <v>87.3</v>
      </c>
      <c r="D32" s="10">
        <f>SUM(Results!G339:G342)</f>
        <v>85.7</v>
      </c>
      <c r="E32" s="10">
        <f>AVERAGE(B32:D32)</f>
        <v>83.633333333333326</v>
      </c>
      <c r="F32" s="11" t="str">
        <f>IF(E32&gt;=80,"HD/D range",IF(E32&gt;=70,"D range",IF(E32&gt;=60,"C range",IF(E32&gt;=50,"P range","At risk"))))</f>
        <v>HD/D range</v>
      </c>
    </row>
    <row r="33" spans="1:6" ht="15" customHeight="1">
      <c r="A33" s="9" t="s">
        <v>99</v>
      </c>
      <c r="B33" s="10">
        <f>SUM(Results!G343:G346)</f>
        <v>60.7</v>
      </c>
      <c r="C33" s="10">
        <f>SUM(Results!G347:G349)</f>
        <v>63.099999999999994</v>
      </c>
      <c r="D33" s="10">
        <f>SUM(Results!G350:G353)</f>
        <v>65.5</v>
      </c>
      <c r="E33" s="10">
        <f>AVERAGE(B33:D33)</f>
        <v>63.1</v>
      </c>
      <c r="F33" s="11" t="str">
        <f>IF(E33&gt;=80,"HD/D range",IF(E33&gt;=70,"D range",IF(E33&gt;=60,"C range",IF(E33&gt;=50,"P range","At risk"))))</f>
        <v>C range</v>
      </c>
    </row>
    <row r="34" spans="1:6" ht="15" customHeight="1">
      <c r="A34" s="9" t="s">
        <v>100</v>
      </c>
      <c r="B34" s="10">
        <f>SUM(Results!G354:G357)</f>
        <v>82</v>
      </c>
      <c r="C34" s="10">
        <f>SUM(Results!G358:G360)</f>
        <v>81.599999999999994</v>
      </c>
      <c r="D34" s="10">
        <f>SUM(Results!G361:G364)</f>
        <v>82.3</v>
      </c>
      <c r="E34" s="10">
        <f>AVERAGE(B34:D34)</f>
        <v>81.966666666666654</v>
      </c>
      <c r="F34" s="11" t="str">
        <f>IF(E34&gt;=80,"HD/D range",IF(E34&gt;=70,"D range",IF(E34&gt;=60,"C range",IF(E34&gt;=50,"P range","At risk"))))</f>
        <v>HD/D range</v>
      </c>
    </row>
    <row r="35" spans="1:6" ht="15" customHeight="1">
      <c r="A35" s="9" t="s">
        <v>101</v>
      </c>
      <c r="B35" s="10">
        <f>SUM(Results!G365:G368)</f>
        <v>72.349999999999994</v>
      </c>
      <c r="C35" s="10">
        <f>SUM(Results!G369:G371)</f>
        <v>68</v>
      </c>
      <c r="D35" s="10">
        <f>SUM(Results!G372:G375)</f>
        <v>65.349999999999994</v>
      </c>
      <c r="E35" s="10">
        <f>AVERAGE(B35:D35)</f>
        <v>68.566666666666663</v>
      </c>
      <c r="F35" s="11" t="str">
        <f>IF(E35&gt;=80,"HD/D range",IF(E35&gt;=70,"D range",IF(E35&gt;=60,"C range",IF(E35&gt;=50,"P range","At risk"))))</f>
        <v>C range</v>
      </c>
    </row>
    <row r="36" spans="1:6" ht="15" customHeight="1">
      <c r="A36" s="9" t="s">
        <v>102</v>
      </c>
      <c r="B36" s="10">
        <f>SUM(Results!G376:G379)</f>
        <v>58.550000000000004</v>
      </c>
      <c r="C36" s="10">
        <f>SUM(Results!G380:G382)</f>
        <v>56.9</v>
      </c>
      <c r="D36" s="10">
        <f>SUM(Results!G383:G386)</f>
        <v>51.849999999999994</v>
      </c>
      <c r="E36" s="10">
        <f>AVERAGE(B36:D36)</f>
        <v>55.766666666666673</v>
      </c>
      <c r="F36" s="11" t="str">
        <f>IF(E36&gt;=80,"HD/D range",IF(E36&gt;=70,"D range",IF(E36&gt;=60,"C range",IF(E36&gt;=50,"P range","At risk"))))</f>
        <v>P range</v>
      </c>
    </row>
    <row r="37" spans="1:6" ht="15" customHeight="1">
      <c r="A37" s="9" t="s">
        <v>103</v>
      </c>
      <c r="B37" s="10">
        <f>SUM(Results!G387:G390)</f>
        <v>57.7</v>
      </c>
      <c r="C37" s="10">
        <f>SUM(Results!G391:G393)</f>
        <v>64.3</v>
      </c>
      <c r="D37" s="10">
        <f>SUM(Results!G394:G397)</f>
        <v>59.95</v>
      </c>
      <c r="E37" s="10">
        <f>AVERAGE(B37:D37)</f>
        <v>60.65</v>
      </c>
      <c r="F37" s="11" t="str">
        <f>IF(E37&gt;=80,"HD/D range",IF(E37&gt;=70,"D range",IF(E37&gt;=60,"C range",IF(E37&gt;=50,"P range","At risk"))))</f>
        <v>C range</v>
      </c>
    </row>
    <row r="38" spans="1:6" ht="15" customHeight="1">
      <c r="A38" s="9" t="s">
        <v>104</v>
      </c>
      <c r="B38" s="10">
        <f>SUM(Results!G398:G401)</f>
        <v>54.35</v>
      </c>
      <c r="C38" s="10">
        <f>SUM(Results!G402:G404)</f>
        <v>51.4</v>
      </c>
      <c r="D38" s="10">
        <f>SUM(Results!G405:G408)</f>
        <v>50.7</v>
      </c>
      <c r="E38" s="10">
        <f>AVERAGE(B38:D38)</f>
        <v>52.15</v>
      </c>
      <c r="F38" s="11" t="str">
        <f>IF(E38&gt;=80,"HD/D range",IF(E38&gt;=70,"D range",IF(E38&gt;=60,"C range",IF(E38&gt;=50,"P range","At risk"))))</f>
        <v>P range</v>
      </c>
    </row>
    <row r="39" spans="1:6" ht="15" customHeight="1">
      <c r="A39" s="9" t="s">
        <v>105</v>
      </c>
      <c r="B39" s="10">
        <f>SUM(Results!G409:G412)</f>
        <v>62.35</v>
      </c>
      <c r="C39" s="10">
        <f>SUM(Results!G413:G415)</f>
        <v>63</v>
      </c>
      <c r="D39" s="10">
        <f>SUM(Results!G416:G419)</f>
        <v>57.75</v>
      </c>
      <c r="E39" s="10">
        <f>AVERAGE(B39:D39)</f>
        <v>61.033333333333331</v>
      </c>
      <c r="F39" s="11" t="str">
        <f>IF(E39&gt;=80,"HD/D range",IF(E39&gt;=70,"D range",IF(E39&gt;=60,"C range",IF(E39&gt;=50,"P range","At risk"))))</f>
        <v>C range</v>
      </c>
    </row>
    <row r="40" spans="1:6" ht="15" customHeight="1">
      <c r="A40" s="9" t="s">
        <v>106</v>
      </c>
      <c r="B40" s="10">
        <f>SUM(Results!G420:G423)</f>
        <v>61</v>
      </c>
      <c r="C40" s="10">
        <f>SUM(Results!G424:G426)</f>
        <v>59.5</v>
      </c>
      <c r="D40" s="10">
        <f>SUM(Results!G427:G430)</f>
        <v>62.199999999999996</v>
      </c>
      <c r="E40" s="10">
        <f>AVERAGE(B40:D40)</f>
        <v>60.9</v>
      </c>
      <c r="F40" s="11" t="str">
        <f>IF(E40&gt;=80,"HD/D range",IF(E40&gt;=70,"D range",IF(E40&gt;=60,"C range",IF(E40&gt;=50,"P range","At risk"))))</f>
        <v>C range</v>
      </c>
    </row>
    <row r="41" spans="1:6" ht="15" customHeight="1">
      <c r="A41" s="9" t="s">
        <v>107</v>
      </c>
      <c r="B41" s="10">
        <f>SUM(Results!G431:G434)</f>
        <v>61.85</v>
      </c>
      <c r="C41" s="10">
        <f>SUM(Results!G435:G437)</f>
        <v>62.9</v>
      </c>
      <c r="D41" s="10">
        <f>SUM(Results!G438:G441)</f>
        <v>60.699999999999996</v>
      </c>
      <c r="E41" s="10">
        <f>AVERAGE(B41:D41)</f>
        <v>61.816666666666663</v>
      </c>
      <c r="F41" s="11" t="str">
        <f>IF(E41&gt;=80,"HD/D range",IF(E41&gt;=70,"D range",IF(E41&gt;=60,"C range",IF(E41&gt;=50,"P range","At risk"))))</f>
        <v>C range</v>
      </c>
    </row>
    <row r="42" spans="1:6" ht="15" customHeight="1">
      <c r="A42" s="9" t="s">
        <v>108</v>
      </c>
      <c r="B42" s="10">
        <f>SUM(Results!G442:G445)</f>
        <v>69.099999999999994</v>
      </c>
      <c r="C42" s="10">
        <f>SUM(Results!G446:G448)</f>
        <v>67.400000000000006</v>
      </c>
      <c r="D42" s="10">
        <f>SUM(Results!G449:G452)</f>
        <v>70.8</v>
      </c>
      <c r="E42" s="10">
        <f>AVERAGE(B42:D42)</f>
        <v>69.100000000000009</v>
      </c>
      <c r="F42" s="11" t="str">
        <f>IF(E42&gt;=80,"HD/D range",IF(E42&gt;=70,"D range",IF(E42&gt;=60,"C range",IF(E42&gt;=50,"P range","At risk"))))</f>
        <v>C range</v>
      </c>
    </row>
    <row r="43" spans="1:6" ht="15" customHeight="1">
      <c r="A43" s="9" t="s">
        <v>109</v>
      </c>
      <c r="B43" s="10">
        <f>SUM(Results!G453:G456)</f>
        <v>67.7</v>
      </c>
      <c r="C43" s="10">
        <f>SUM(Results!G457:G459)</f>
        <v>67.400000000000006</v>
      </c>
      <c r="D43" s="10">
        <f>SUM(Results!G460:G463)</f>
        <v>71.599999999999994</v>
      </c>
      <c r="E43" s="10">
        <f>AVERAGE(B43:D43)</f>
        <v>68.900000000000006</v>
      </c>
      <c r="F43" s="11" t="str">
        <f>IF(E43&gt;=80,"HD/D range",IF(E43&gt;=70,"D range",IF(E43&gt;=60,"C range",IF(E43&gt;=50,"P range","At risk"))))</f>
        <v>C range</v>
      </c>
    </row>
    <row r="44" spans="1:6" ht="15" customHeight="1">
      <c r="A44" s="9" t="s">
        <v>110</v>
      </c>
      <c r="B44" s="10">
        <f>SUM(Results!G464:G467)</f>
        <v>87</v>
      </c>
      <c r="C44" s="10">
        <f>SUM(Results!G468:G470)</f>
        <v>88.1</v>
      </c>
      <c r="D44" s="10">
        <f>SUM(Results!G471:G474)</f>
        <v>82.35</v>
      </c>
      <c r="E44" s="10">
        <f>AVERAGE(B44:D44)</f>
        <v>85.816666666666663</v>
      </c>
      <c r="F44" s="11" t="str">
        <f>IF(E44&gt;=80,"HD/D range",IF(E44&gt;=70,"D range",IF(E44&gt;=60,"C range",IF(E44&gt;=50,"P range","At risk"))))</f>
        <v>HD/D range</v>
      </c>
    </row>
    <row r="45" spans="1:6" ht="15" customHeight="1">
      <c r="A45" s="9" t="s">
        <v>112</v>
      </c>
      <c r="B45" s="10">
        <f>SUM(Results!G475:G478)</f>
        <v>74.550000000000011</v>
      </c>
      <c r="C45" s="10">
        <f>SUM(Results!G479:G481)</f>
        <v>80.3</v>
      </c>
      <c r="D45" s="10">
        <f>SUM(Results!G482:G485)</f>
        <v>75.650000000000006</v>
      </c>
      <c r="E45" s="10">
        <f>AVERAGE(B45:D45)</f>
        <v>76.833333333333343</v>
      </c>
      <c r="F45" s="11" t="str">
        <f>IF(E45&gt;=80,"HD/D range",IF(E45&gt;=70,"D range",IF(E45&gt;=60,"C range",IF(E45&gt;=50,"P range","At risk"))))</f>
        <v>D range</v>
      </c>
    </row>
    <row r="46" spans="1:6" ht="15" customHeight="1">
      <c r="A46" s="9" t="s">
        <v>113</v>
      </c>
      <c r="B46" s="10">
        <f>SUM(Results!G486:G489)</f>
        <v>84.050000000000011</v>
      </c>
      <c r="C46" s="10">
        <f>SUM(Results!G490:G492)</f>
        <v>85</v>
      </c>
      <c r="D46" s="10">
        <f>SUM(Results!G493:G496)</f>
        <v>86.3</v>
      </c>
      <c r="E46" s="10">
        <f>AVERAGE(B46:D46)</f>
        <v>85.116666666666674</v>
      </c>
      <c r="F46" s="11" t="str">
        <f>IF(E46&gt;=80,"HD/D range",IF(E46&gt;=70,"D range",IF(E46&gt;=60,"C range",IF(E46&gt;=50,"P range","At risk"))))</f>
        <v>HD/D range</v>
      </c>
    </row>
    <row r="47" spans="1:6" ht="15" customHeight="1">
      <c r="A47" s="9" t="s">
        <v>114</v>
      </c>
      <c r="B47" s="10">
        <f>SUM(Results!G497:G500)</f>
        <v>78.2</v>
      </c>
      <c r="C47" s="10">
        <f>SUM(Results!G501:G503)</f>
        <v>78.099999999999994</v>
      </c>
      <c r="D47" s="10">
        <f>SUM(Results!G504:G507)</f>
        <v>78.45</v>
      </c>
      <c r="E47" s="10">
        <f>AVERAGE(B47:D47)</f>
        <v>78.25</v>
      </c>
      <c r="F47" s="11" t="str">
        <f>IF(E47&gt;=80,"HD/D range",IF(E47&gt;=70,"D range",IF(E47&gt;=60,"C range",IF(E47&gt;=50,"P range","At risk"))))</f>
        <v>D range</v>
      </c>
    </row>
    <row r="48" spans="1:6" ht="15" customHeight="1">
      <c r="A48" s="9" t="s">
        <v>115</v>
      </c>
      <c r="B48" s="10">
        <f>SUM(Results!G508:G511)</f>
        <v>70.55</v>
      </c>
      <c r="C48" s="10">
        <f>SUM(Results!G512:G514)</f>
        <v>73.599999999999994</v>
      </c>
      <c r="D48" s="10">
        <f>SUM(Results!G515:G518)</f>
        <v>71.699999999999989</v>
      </c>
      <c r="E48" s="10">
        <f>AVERAGE(B48:D48)</f>
        <v>71.949999999999989</v>
      </c>
      <c r="F48" s="11" t="str">
        <f>IF(E48&gt;=80,"HD/D range",IF(E48&gt;=70,"D range",IF(E48&gt;=60,"C range",IF(E48&gt;=50,"P range","At risk"))))</f>
        <v>D range</v>
      </c>
    </row>
    <row r="49" spans="1:6" ht="15" customHeight="1">
      <c r="A49" s="9" t="s">
        <v>116</v>
      </c>
      <c r="B49" s="10">
        <f>SUM(Results!G519:G522)</f>
        <v>77.45</v>
      </c>
      <c r="C49" s="10">
        <f>SUM(Results!G523:G525)</f>
        <v>73.2</v>
      </c>
      <c r="D49" s="10">
        <f>SUM(Results!G526:G529)</f>
        <v>77.099999999999994</v>
      </c>
      <c r="E49" s="10">
        <f>AVERAGE(B49:D49)</f>
        <v>75.916666666666671</v>
      </c>
      <c r="F49" s="11" t="str">
        <f>IF(E49&gt;=80,"HD/D range",IF(E49&gt;=70,"D range",IF(E49&gt;=60,"C range",IF(E49&gt;=50,"P range","At risk"))))</f>
        <v>D range</v>
      </c>
    </row>
    <row r="50" spans="1:6" ht="15" customHeight="1">
      <c r="A50" s="9" t="s">
        <v>117</v>
      </c>
      <c r="B50" s="10">
        <f>SUM(Results!G530:G533)</f>
        <v>52.1</v>
      </c>
      <c r="C50" s="10">
        <f>SUM(Results!G534:G536)</f>
        <v>50.6</v>
      </c>
      <c r="D50" s="10">
        <f>SUM(Results!G537:G540)</f>
        <v>50.650000000000006</v>
      </c>
      <c r="E50" s="10">
        <f>AVERAGE(B50:D50)</f>
        <v>51.116666666666674</v>
      </c>
      <c r="F50" s="11" t="str">
        <f>IF(E50&gt;=80,"HD/D range",IF(E50&gt;=70,"D range",IF(E50&gt;=60,"C range",IF(E50&gt;=50,"P range","At risk"))))</f>
        <v>P range</v>
      </c>
    </row>
    <row r="51" spans="1:6" ht="15" customHeight="1">
      <c r="A51" s="9" t="s">
        <v>119</v>
      </c>
      <c r="B51" s="10">
        <f>SUM(Results!G541:G544)</f>
        <v>58.45</v>
      </c>
      <c r="C51" s="10">
        <f>SUM(Results!G545:G547)</f>
        <v>59.4</v>
      </c>
      <c r="D51" s="10">
        <f>SUM(Results!G548:G551)</f>
        <v>58.65</v>
      </c>
      <c r="E51" s="10">
        <f>AVERAGE(B51:D51)</f>
        <v>58.833333333333336</v>
      </c>
      <c r="F51" s="11" t="str">
        <f>IF(E51&gt;=80,"HD/D range",IF(E51&gt;=70,"D range",IF(E51&gt;=60,"C range",IF(E51&gt;=50,"P range","At risk"))))</f>
        <v>P range</v>
      </c>
    </row>
    <row r="52" spans="1:6" ht="15" customHeight="1">
      <c r="A52" s="9" t="s">
        <v>120</v>
      </c>
      <c r="B52" s="10">
        <f>SUM(Results!G552:G555)</f>
        <v>77.150000000000006</v>
      </c>
      <c r="C52" s="10">
        <f>SUM(Results!G556:G558)</f>
        <v>81.599999999999994</v>
      </c>
      <c r="D52" s="10">
        <f>SUM(Results!G559:G562)</f>
        <v>80</v>
      </c>
      <c r="E52" s="10">
        <f>AVERAGE(B52:D52)</f>
        <v>79.583333333333329</v>
      </c>
      <c r="F52" s="11" t="str">
        <f>IF(E52&gt;=80,"HD/D range",IF(E52&gt;=70,"D range",IF(E52&gt;=60,"C range",IF(E52&gt;=50,"P range","At risk"))))</f>
        <v>D range</v>
      </c>
    </row>
    <row r="53" spans="1:6" ht="15" customHeight="1">
      <c r="A53" s="9" t="s">
        <v>121</v>
      </c>
      <c r="B53" s="10">
        <f>SUM(Results!G563:G566)</f>
        <v>68.349999999999994</v>
      </c>
      <c r="C53" s="10">
        <f>SUM(Results!G567:G569)</f>
        <v>69.7</v>
      </c>
      <c r="D53" s="10">
        <f>SUM(Results!G570:G573)</f>
        <v>70.900000000000006</v>
      </c>
      <c r="E53" s="10">
        <f>AVERAGE(B53:D53)</f>
        <v>69.650000000000006</v>
      </c>
      <c r="F53" s="11" t="str">
        <f>IF(E53&gt;=80,"HD/D range",IF(E53&gt;=70,"D range",IF(E53&gt;=60,"C range",IF(E53&gt;=50,"P range","At risk"))))</f>
        <v>C range</v>
      </c>
    </row>
    <row r="54" spans="1:6" ht="15" customHeight="1">
      <c r="A54" s="9" t="s">
        <v>122</v>
      </c>
      <c r="B54" s="10">
        <f>SUM(Results!G574:G577)</f>
        <v>81.050000000000011</v>
      </c>
      <c r="C54" s="10">
        <f>SUM(Results!G578:G580)</f>
        <v>78.900000000000006</v>
      </c>
      <c r="D54" s="10">
        <f>SUM(Results!G581:G584)</f>
        <v>77.650000000000006</v>
      </c>
      <c r="E54" s="10">
        <f>AVERAGE(B54:D54)</f>
        <v>79.2</v>
      </c>
      <c r="F54" s="11" t="str">
        <f>IF(E54&gt;=80,"HD/D range",IF(E54&gt;=70,"D range",IF(E54&gt;=60,"C range",IF(E54&gt;=50,"P range","At risk"))))</f>
        <v>D range</v>
      </c>
    </row>
    <row r="55" spans="1:6" ht="15" customHeight="1">
      <c r="A55" s="9" t="s">
        <v>123</v>
      </c>
      <c r="B55" s="10">
        <f>SUM(Results!G585:G588)</f>
        <v>47.75</v>
      </c>
      <c r="C55" s="10">
        <f>SUM(Results!G589:G591)</f>
        <v>43.2</v>
      </c>
      <c r="D55" s="10">
        <f>SUM(Results!G592:G595)</f>
        <v>44.85</v>
      </c>
      <c r="E55" s="10">
        <f>AVERAGE(B55:D55)</f>
        <v>45.266666666666673</v>
      </c>
      <c r="F55" s="11" t="str">
        <f>IF(E55&gt;=80,"HD/D range",IF(E55&gt;=70,"D range",IF(E55&gt;=60,"C range",IF(E55&gt;=50,"P range","At risk"))))</f>
        <v>At risk</v>
      </c>
    </row>
    <row r="56" spans="1:6" ht="15" customHeight="1">
      <c r="A56" s="9" t="s">
        <v>125</v>
      </c>
      <c r="B56" s="10">
        <f>SUM(Results!G596:G599)</f>
        <v>72.849999999999994</v>
      </c>
      <c r="C56" s="10">
        <f>SUM(Results!G600:G602)</f>
        <v>72.8</v>
      </c>
      <c r="D56" s="10">
        <f>SUM(Results!G603:G606)</f>
        <v>74.900000000000006</v>
      </c>
      <c r="E56" s="10">
        <f>AVERAGE(B56:D56)</f>
        <v>73.516666666666666</v>
      </c>
      <c r="F56" s="11" t="str">
        <f>IF(E56&gt;=80,"HD/D range",IF(E56&gt;=70,"D range",IF(E56&gt;=60,"C range",IF(E56&gt;=50,"P range","At risk"))))</f>
        <v>D range</v>
      </c>
    </row>
    <row r="57" spans="1:6" ht="15" customHeight="1">
      <c r="A57" s="9" t="s">
        <v>126</v>
      </c>
      <c r="B57" s="10">
        <f>SUM(Results!G607:G610)</f>
        <v>78.25</v>
      </c>
      <c r="C57" s="10">
        <f>SUM(Results!G611:G613)</f>
        <v>82.2</v>
      </c>
      <c r="D57" s="10">
        <f>SUM(Results!G614:G617)</f>
        <v>81.650000000000006</v>
      </c>
      <c r="E57" s="10">
        <f>AVERAGE(B57:D57)</f>
        <v>80.7</v>
      </c>
      <c r="F57" s="11" t="str">
        <f>IF(E57&gt;=80,"HD/D range",IF(E57&gt;=70,"D range",IF(E57&gt;=60,"C range",IF(E57&gt;=50,"P range","At risk"))))</f>
        <v>HD/D range</v>
      </c>
    </row>
    <row r="58" spans="1:6" ht="15" customHeight="1">
      <c r="A58" s="9" t="s">
        <v>127</v>
      </c>
      <c r="B58" s="10">
        <f>SUM(Results!G618:G621)</f>
        <v>74.800000000000011</v>
      </c>
      <c r="C58" s="10">
        <f>SUM(Results!G622:G624)</f>
        <v>73.7</v>
      </c>
      <c r="D58" s="10">
        <f>SUM(Results!G625:G628)</f>
        <v>72.45</v>
      </c>
      <c r="E58" s="10">
        <f>AVERAGE(B58:D58)</f>
        <v>73.649999999999991</v>
      </c>
      <c r="F58" s="11" t="str">
        <f>IF(E58&gt;=80,"HD/D range",IF(E58&gt;=70,"D range",IF(E58&gt;=60,"C range",IF(E58&gt;=50,"P range","At risk"))))</f>
        <v>D range</v>
      </c>
    </row>
    <row r="59" spans="1:6" ht="15" customHeight="1">
      <c r="A59" s="9" t="s">
        <v>128</v>
      </c>
      <c r="B59" s="10">
        <f>SUM(Results!G629:G632)</f>
        <v>84.9</v>
      </c>
      <c r="C59" s="10">
        <f>SUM(Results!G633:G635)</f>
        <v>78.900000000000006</v>
      </c>
      <c r="D59" s="10">
        <f>SUM(Results!G636:G639)</f>
        <v>82.1</v>
      </c>
      <c r="E59" s="10">
        <f>AVERAGE(B59:D59)</f>
        <v>81.966666666666669</v>
      </c>
      <c r="F59" s="11" t="str">
        <f>IF(E59&gt;=80,"HD/D range",IF(E59&gt;=70,"D range",IF(E59&gt;=60,"C range",IF(E59&gt;=50,"P range","At risk"))))</f>
        <v>HD/D range</v>
      </c>
    </row>
    <row r="60" spans="1:6" ht="15" customHeight="1">
      <c r="A60" s="9" t="s">
        <v>129</v>
      </c>
      <c r="B60" s="10">
        <f>SUM(Results!G640:G643)</f>
        <v>61.95</v>
      </c>
      <c r="C60" s="10">
        <f>SUM(Results!G644:G646)</f>
        <v>53.400000000000006</v>
      </c>
      <c r="D60" s="10">
        <f>SUM(Results!G647:G650)</f>
        <v>53.25</v>
      </c>
      <c r="E60" s="10">
        <f>AVERAGE(B60:D60)</f>
        <v>56.20000000000001</v>
      </c>
      <c r="F60" s="11" t="str">
        <f>IF(E60&gt;=80,"HD/D range",IF(E60&gt;=70,"D range",IF(E60&gt;=60,"C range",IF(E60&gt;=50,"P range","At risk"))))</f>
        <v>P range</v>
      </c>
    </row>
    <row r="61" spans="1:6" ht="15" customHeight="1">
      <c r="A61" s="9" t="s">
        <v>130</v>
      </c>
      <c r="B61" s="10">
        <f>SUM(Results!G651:G654)</f>
        <v>69.45</v>
      </c>
      <c r="C61" s="10">
        <f>SUM(Results!G655:G657)</f>
        <v>66.8</v>
      </c>
      <c r="D61" s="10">
        <f>SUM(Results!G658:G661)</f>
        <v>69.349999999999994</v>
      </c>
      <c r="E61" s="10">
        <f>AVERAGE(B61:D61)</f>
        <v>68.533333333333331</v>
      </c>
      <c r="F61" s="11" t="str">
        <f>IF(E61&gt;=80,"HD/D range",IF(E61&gt;=70,"D range",IF(E61&gt;=60,"C range",IF(E61&gt;=50,"P range","At risk"))))</f>
        <v>C range</v>
      </c>
    </row>
    <row r="62" spans="1:6" ht="15" customHeight="1">
      <c r="A62" s="9" t="s">
        <v>131</v>
      </c>
      <c r="B62" s="10">
        <f>SUM(Results!G662:G665)</f>
        <v>47.85</v>
      </c>
      <c r="C62" s="10">
        <f>SUM(Results!G666:G668)</f>
        <v>54</v>
      </c>
      <c r="D62" s="10">
        <f>SUM(Results!G669:G672)</f>
        <v>48.349999999999994</v>
      </c>
      <c r="E62" s="10">
        <f>AVERAGE(B62:D62)</f>
        <v>50.066666666666663</v>
      </c>
      <c r="F62" s="11" t="str">
        <f>IF(E62&gt;=80,"HD/D range",IF(E62&gt;=70,"D range",IF(E62&gt;=60,"C range",IF(E62&gt;=50,"P range","At risk"))))</f>
        <v>P range</v>
      </c>
    </row>
    <row r="63" spans="1:6" ht="15" customHeight="1">
      <c r="A63" s="9" t="s">
        <v>133</v>
      </c>
      <c r="B63" s="10">
        <f>SUM(Results!G673:G676)</f>
        <v>62.650000000000006</v>
      </c>
      <c r="C63" s="10">
        <f>SUM(Results!G677:G679)</f>
        <v>62.9</v>
      </c>
      <c r="D63" s="10">
        <f>SUM(Results!G680:G683)</f>
        <v>62.699999999999996</v>
      </c>
      <c r="E63" s="10">
        <f>AVERAGE(B63:D63)</f>
        <v>62.75</v>
      </c>
      <c r="F63" s="11" t="str">
        <f>IF(E63&gt;=80,"HD/D range",IF(E63&gt;=70,"D range",IF(E63&gt;=60,"C range",IF(E63&gt;=50,"P range","At risk"))))</f>
        <v>C range</v>
      </c>
    </row>
    <row r="64" spans="1:6" ht="15" customHeight="1">
      <c r="A64" s="9" t="s">
        <v>134</v>
      </c>
      <c r="B64" s="10">
        <f>SUM(Results!G684:G687)</f>
        <v>91.35</v>
      </c>
      <c r="C64" s="10">
        <f>SUM(Results!G688:G690)</f>
        <v>94.6</v>
      </c>
      <c r="D64" s="10">
        <f>SUM(Results!G691:G694)</f>
        <v>94</v>
      </c>
      <c r="E64" s="10">
        <f>AVERAGE(B64:D64)</f>
        <v>93.316666666666663</v>
      </c>
      <c r="F64" s="11" t="str">
        <f>IF(E64&gt;=80,"HD/D range",IF(E64&gt;=70,"D range",IF(E64&gt;=60,"C range",IF(E64&gt;=50,"P range","At risk"))))</f>
        <v>HD/D range</v>
      </c>
    </row>
    <row r="65" spans="1:6" ht="15" customHeight="1">
      <c r="A65" s="9" t="s">
        <v>135</v>
      </c>
      <c r="B65" s="10">
        <f>SUM(Results!G695:G698)</f>
        <v>52.2</v>
      </c>
      <c r="C65" s="10">
        <f>SUM(Results!G699:G701)</f>
        <v>57.9</v>
      </c>
      <c r="D65" s="10">
        <f>SUM(Results!G702:G705)</f>
        <v>53.8</v>
      </c>
      <c r="E65" s="10">
        <f>AVERAGE(B65:D65)</f>
        <v>54.633333333333326</v>
      </c>
      <c r="F65" s="11" t="str">
        <f>IF(E65&gt;=80,"HD/D range",IF(E65&gt;=70,"D range",IF(E65&gt;=60,"C range",IF(E65&gt;=50,"P range","At risk"))))</f>
        <v>P range</v>
      </c>
    </row>
    <row r="66" spans="1:6" ht="15" customHeight="1">
      <c r="A66" s="9" t="s">
        <v>136</v>
      </c>
      <c r="B66" s="10">
        <f>SUM(Results!G706:G709)</f>
        <v>66.55</v>
      </c>
      <c r="C66" s="10">
        <f>SUM(Results!G710:G712)</f>
        <v>64.7</v>
      </c>
      <c r="D66" s="10">
        <f>SUM(Results!G713:G716)</f>
        <v>61.8</v>
      </c>
      <c r="E66" s="10">
        <f>AVERAGE(B66:D66)</f>
        <v>64.350000000000009</v>
      </c>
      <c r="F66" s="11" t="str">
        <f>IF(E66&gt;=80,"HD/D range",IF(E66&gt;=70,"D range",IF(E66&gt;=60,"C range",IF(E66&gt;=50,"P range","At risk"))))</f>
        <v>C range</v>
      </c>
    </row>
    <row r="67" spans="1:6" ht="15" customHeight="1">
      <c r="A67" s="9" t="s">
        <v>137</v>
      </c>
      <c r="B67" s="10">
        <f>SUM(Results!G717:G720)</f>
        <v>56.850000000000009</v>
      </c>
      <c r="C67" s="10">
        <f>SUM(Results!G721:G723)</f>
        <v>57.9</v>
      </c>
      <c r="D67" s="10">
        <f>SUM(Results!G724:G727)</f>
        <v>54.3</v>
      </c>
      <c r="E67" s="10">
        <f>AVERAGE(B67:D67)</f>
        <v>56.35</v>
      </c>
      <c r="F67" s="11" t="str">
        <f>IF(E67&gt;=80,"HD/D range",IF(E67&gt;=70,"D range",IF(E67&gt;=60,"C range",IF(E67&gt;=50,"P range","At risk"))))</f>
        <v>P range</v>
      </c>
    </row>
    <row r="68" spans="1:6" ht="15" customHeight="1">
      <c r="A68" s="9" t="s">
        <v>138</v>
      </c>
      <c r="B68" s="10">
        <f>SUM(Results!G728:G731)</f>
        <v>42.599999999999994</v>
      </c>
      <c r="C68" s="10">
        <f>SUM(Results!G732:G734)</f>
        <v>39.6</v>
      </c>
      <c r="D68" s="10">
        <f>SUM(Results!G735:G738)</f>
        <v>45.8</v>
      </c>
      <c r="E68" s="10">
        <f>AVERAGE(B68:D68)</f>
        <v>42.666666666666664</v>
      </c>
      <c r="F68" s="11" t="str">
        <f>IF(E68&gt;=80,"HD/D range",IF(E68&gt;=70,"D range",IF(E68&gt;=60,"C range",IF(E68&gt;=50,"P range","At risk"))))</f>
        <v>At risk</v>
      </c>
    </row>
    <row r="69" spans="1:6" ht="15" customHeight="1">
      <c r="A69" s="9" t="s">
        <v>139</v>
      </c>
      <c r="B69" s="10">
        <f>SUM(Results!G739:G742)</f>
        <v>81.050000000000011</v>
      </c>
      <c r="C69" s="10">
        <f>SUM(Results!G743:G745)</f>
        <v>88.5</v>
      </c>
      <c r="D69" s="10">
        <f>SUM(Results!G746:G749)</f>
        <v>83.600000000000009</v>
      </c>
      <c r="E69" s="10">
        <f>AVERAGE(B69:D69)</f>
        <v>84.38333333333334</v>
      </c>
      <c r="F69" s="11" t="str">
        <f>IF(E69&gt;=80,"HD/D range",IF(E69&gt;=70,"D range",IF(E69&gt;=60,"C range",IF(E69&gt;=50,"P range","At risk"))))</f>
        <v>HD/D range</v>
      </c>
    </row>
    <row r="70" spans="1:6" ht="15" customHeight="1">
      <c r="A70" s="9" t="s">
        <v>140</v>
      </c>
      <c r="B70" s="10">
        <f>SUM(Results!G750:G753)</f>
        <v>45.85</v>
      </c>
      <c r="C70" s="10">
        <f>SUM(Results!G754:G756)</f>
        <v>52.1</v>
      </c>
      <c r="D70" s="10">
        <f>SUM(Results!G757:G760)</f>
        <v>50.3</v>
      </c>
      <c r="E70" s="10">
        <f>AVERAGE(B70:D70)</f>
        <v>49.416666666666664</v>
      </c>
      <c r="F70" s="11" t="str">
        <f>IF(E70&gt;=80,"HD/D range",IF(E70&gt;=70,"D range",IF(E70&gt;=60,"C range",IF(E70&gt;=50,"P range","At risk"))))</f>
        <v>At risk</v>
      </c>
    </row>
    <row r="71" spans="1:6" ht="15" customHeight="1">
      <c r="A71" s="9" t="s">
        <v>141</v>
      </c>
      <c r="B71" s="10">
        <f>SUM(Results!G761:G764)</f>
        <v>74.900000000000006</v>
      </c>
      <c r="C71" s="10">
        <f>SUM(Results!G765:G767)</f>
        <v>74.099999999999994</v>
      </c>
      <c r="D71" s="10">
        <f>SUM(Results!G768:G771)</f>
        <v>75.099999999999994</v>
      </c>
      <c r="E71" s="10">
        <f>AVERAGE(B71:D71)</f>
        <v>74.7</v>
      </c>
      <c r="F71" s="11" t="str">
        <f>IF(E71&gt;=80,"HD/D range",IF(E71&gt;=70,"D range",IF(E71&gt;=60,"C range",IF(E71&gt;=50,"P range","At risk"))))</f>
        <v>D range</v>
      </c>
    </row>
    <row r="72" spans="1:6" ht="15" customHeight="1">
      <c r="A72" s="9" t="s">
        <v>142</v>
      </c>
      <c r="B72" s="10">
        <f>SUM(Results!G772:G775)</f>
        <v>66.900000000000006</v>
      </c>
      <c r="C72" s="10">
        <f>SUM(Results!G776:G778)</f>
        <v>60.6</v>
      </c>
      <c r="D72" s="10">
        <f>SUM(Results!G779:G782)</f>
        <v>68</v>
      </c>
      <c r="E72" s="10">
        <f>AVERAGE(B72:D72)</f>
        <v>65.166666666666671</v>
      </c>
      <c r="F72" s="11" t="str">
        <f>IF(E72&gt;=80,"HD/D range",IF(E72&gt;=70,"D range",IF(E72&gt;=60,"C range",IF(E72&gt;=50,"P range","At risk"))))</f>
        <v>C range</v>
      </c>
    </row>
    <row r="73" spans="1:6" ht="15" customHeight="1">
      <c r="A73" s="9" t="s">
        <v>143</v>
      </c>
      <c r="B73" s="10">
        <f>SUM(Results!G783:G786)</f>
        <v>77.55</v>
      </c>
      <c r="C73" s="10">
        <f>SUM(Results!G787:G789)</f>
        <v>73.2</v>
      </c>
      <c r="D73" s="10">
        <f>SUM(Results!G790:G793)</f>
        <v>73.25</v>
      </c>
      <c r="E73" s="10">
        <f>AVERAGE(B73:D73)</f>
        <v>74.666666666666671</v>
      </c>
      <c r="F73" s="11" t="str">
        <f>IF(E73&gt;=80,"HD/D range",IF(E73&gt;=70,"D range",IF(E73&gt;=60,"C range",IF(E73&gt;=50,"P range","At risk"))))</f>
        <v>D range</v>
      </c>
    </row>
    <row r="74" spans="1:6" ht="15" customHeight="1">
      <c r="A74" s="9" t="s">
        <v>144</v>
      </c>
      <c r="B74" s="10">
        <f>SUM(Results!G794:G797)</f>
        <v>73.599999999999994</v>
      </c>
      <c r="C74" s="10">
        <f>SUM(Results!G798:G800)</f>
        <v>70.8</v>
      </c>
      <c r="D74" s="10">
        <f>SUM(Results!G801:G804)</f>
        <v>71.55</v>
      </c>
      <c r="E74" s="10">
        <f>AVERAGE(B74:D74)</f>
        <v>71.983333333333334</v>
      </c>
      <c r="F74" s="11" t="str">
        <f>IF(E74&gt;=80,"HD/D range",IF(E74&gt;=70,"D range",IF(E74&gt;=60,"C range",IF(E74&gt;=50,"P range","At risk"))))</f>
        <v>D range</v>
      </c>
    </row>
    <row r="75" spans="1:6" ht="15" customHeight="1">
      <c r="A75" s="9" t="s">
        <v>145</v>
      </c>
      <c r="B75" s="10">
        <f>SUM(Results!G805:G808)</f>
        <v>49.550000000000004</v>
      </c>
      <c r="C75" s="10">
        <f>SUM(Results!G809:G811)</f>
        <v>55.2</v>
      </c>
      <c r="D75" s="10">
        <f>SUM(Results!G812:G815)</f>
        <v>49</v>
      </c>
      <c r="E75" s="10">
        <f>AVERAGE(B75:D75)</f>
        <v>51.25</v>
      </c>
      <c r="F75" s="11" t="str">
        <f>IF(E75&gt;=80,"HD/D range",IF(E75&gt;=70,"D range",IF(E75&gt;=60,"C range",IF(E75&gt;=50,"P range","At risk"))))</f>
        <v>P range</v>
      </c>
    </row>
    <row r="76" spans="1:6" ht="15" customHeight="1">
      <c r="A76" s="9" t="s">
        <v>146</v>
      </c>
      <c r="B76" s="10">
        <f>SUM(Results!G816:G819)</f>
        <v>72.150000000000006</v>
      </c>
      <c r="C76" s="10">
        <f>SUM(Results!G820:G822)</f>
        <v>73.7</v>
      </c>
      <c r="D76" s="10">
        <f>SUM(Results!G823:G826)</f>
        <v>79.05</v>
      </c>
      <c r="E76" s="10">
        <f>AVERAGE(B76:D76)</f>
        <v>74.966666666666683</v>
      </c>
      <c r="F76" s="11" t="str">
        <f>IF(E76&gt;=80,"HD/D range",IF(E76&gt;=70,"D range",IF(E76&gt;=60,"C range",IF(E76&gt;=50,"P range","At risk"))))</f>
        <v>D range</v>
      </c>
    </row>
    <row r="77" spans="1:6" ht="15" customHeight="1">
      <c r="A77" s="9" t="s">
        <v>147</v>
      </c>
      <c r="B77" s="10">
        <f>SUM(Results!G827:G830)</f>
        <v>68.400000000000006</v>
      </c>
      <c r="C77" s="10">
        <f>SUM(Results!G831:G833)</f>
        <v>68.2</v>
      </c>
      <c r="D77" s="10">
        <f>SUM(Results!G834:G837)</f>
        <v>71.05</v>
      </c>
      <c r="E77" s="10">
        <f>AVERAGE(B77:D77)</f>
        <v>69.216666666666683</v>
      </c>
      <c r="F77" s="11" t="str">
        <f>IF(E77&gt;=80,"HD/D range",IF(E77&gt;=70,"D range",IF(E77&gt;=60,"C range",IF(E77&gt;=50,"P range","At risk"))))</f>
        <v>C range</v>
      </c>
    </row>
    <row r="78" spans="1:6" ht="15" customHeight="1">
      <c r="A78" s="9" t="s">
        <v>148</v>
      </c>
      <c r="B78" s="10">
        <f>SUM(Results!G838:G841)</f>
        <v>69.05</v>
      </c>
      <c r="C78" s="10">
        <f>SUM(Results!G842:G844)</f>
        <v>69.5</v>
      </c>
      <c r="D78" s="10">
        <f>SUM(Results!G845:G848)</f>
        <v>73.7</v>
      </c>
      <c r="E78" s="10">
        <f>AVERAGE(B78:D78)</f>
        <v>70.75</v>
      </c>
      <c r="F78" s="11" t="str">
        <f>IF(E78&gt;=80,"HD/D range",IF(E78&gt;=70,"D range",IF(E78&gt;=60,"C range",IF(E78&gt;=50,"P range","At risk"))))</f>
        <v>D range</v>
      </c>
    </row>
    <row r="79" spans="1:6" ht="15" customHeight="1">
      <c r="A79" s="9" t="s">
        <v>149</v>
      </c>
      <c r="B79" s="10">
        <f>SUM(Results!G849:G852)</f>
        <v>71.900000000000006</v>
      </c>
      <c r="C79" s="10">
        <f>SUM(Results!G853:G855)</f>
        <v>74.3</v>
      </c>
      <c r="D79" s="10">
        <f>SUM(Results!G856:G859)</f>
        <v>79</v>
      </c>
      <c r="E79" s="10">
        <f>AVERAGE(B79:D79)</f>
        <v>75.066666666666663</v>
      </c>
      <c r="F79" s="11" t="str">
        <f>IF(E79&gt;=80,"HD/D range",IF(E79&gt;=70,"D range",IF(E79&gt;=60,"C range",IF(E79&gt;=50,"P range","At risk"))))</f>
        <v>D range</v>
      </c>
    </row>
    <row r="80" spans="1:6" ht="15" customHeight="1">
      <c r="A80" s="9" t="s">
        <v>150</v>
      </c>
      <c r="B80" s="10">
        <f>SUM(Results!G860:G863)</f>
        <v>64.7</v>
      </c>
      <c r="C80" s="10">
        <f>SUM(Results!G864:G866)</f>
        <v>68</v>
      </c>
      <c r="D80" s="10">
        <f>SUM(Results!G867:G870)</f>
        <v>69.599999999999994</v>
      </c>
      <c r="E80" s="10">
        <f>AVERAGE(B80:D80)</f>
        <v>67.433333333333323</v>
      </c>
      <c r="F80" s="11" t="str">
        <f>IF(E80&gt;=80,"HD/D range",IF(E80&gt;=70,"D range",IF(E80&gt;=60,"C range",IF(E80&gt;=50,"P range","At risk"))))</f>
        <v>C range</v>
      </c>
    </row>
    <row r="81" spans="1:6" ht="15" customHeight="1">
      <c r="A81" s="9" t="s">
        <v>151</v>
      </c>
      <c r="B81" s="10">
        <f>SUM(Results!G871:G874)</f>
        <v>47.1</v>
      </c>
      <c r="C81" s="10">
        <f>SUM(Results!G875:G877)</f>
        <v>51.6</v>
      </c>
      <c r="D81" s="10">
        <f>SUM(Results!G878:G881)</f>
        <v>48</v>
      </c>
      <c r="E81" s="10">
        <f>AVERAGE(B81:D81)</f>
        <v>48.9</v>
      </c>
      <c r="F81" s="11" t="str">
        <f>IF(E81&gt;=80,"HD/D range",IF(E81&gt;=70,"D range",IF(E81&gt;=60,"C range",IF(E81&gt;=50,"P range","At risk"))))</f>
        <v>At risk</v>
      </c>
    </row>
    <row r="82" spans="1:6" ht="15" customHeight="1">
      <c r="A82" s="9" t="s">
        <v>152</v>
      </c>
      <c r="B82" s="10">
        <f>SUM(Results!G882:G885)</f>
        <v>84.800000000000011</v>
      </c>
      <c r="C82" s="10">
        <f>SUM(Results!G886:G888)</f>
        <v>78.099999999999994</v>
      </c>
      <c r="D82" s="10">
        <f>SUM(Results!G889:G892)</f>
        <v>83.449999999999989</v>
      </c>
      <c r="E82" s="10">
        <f>AVERAGE(B82:D82)</f>
        <v>82.11666666666666</v>
      </c>
      <c r="F82" s="11" t="str">
        <f>IF(E82&gt;=80,"HD/D range",IF(E82&gt;=70,"D range",IF(E82&gt;=60,"C range",IF(E82&gt;=50,"P range","At risk"))))</f>
        <v>HD/D range</v>
      </c>
    </row>
    <row r="83" spans="1:6" ht="15" customHeight="1">
      <c r="A83" s="9" t="s">
        <v>153</v>
      </c>
      <c r="B83" s="10">
        <f>SUM(Results!G893:G896)</f>
        <v>61.85</v>
      </c>
      <c r="C83" s="10">
        <f>SUM(Results!G897:G899)</f>
        <v>52</v>
      </c>
      <c r="D83" s="10">
        <f>SUM(Results!G900:G903)</f>
        <v>56.7</v>
      </c>
      <c r="E83" s="10">
        <f>AVERAGE(B83:D83)</f>
        <v>56.85</v>
      </c>
      <c r="F83" s="11" t="str">
        <f>IF(E83&gt;=80,"HD/D range",IF(E83&gt;=70,"D range",IF(E83&gt;=60,"C range",IF(E83&gt;=50,"P range","At risk"))))</f>
        <v>P range</v>
      </c>
    </row>
    <row r="84" spans="1:6" ht="15" customHeight="1">
      <c r="A84" s="9" t="s">
        <v>154</v>
      </c>
      <c r="B84" s="10">
        <f>SUM(Results!G904:G907)</f>
        <v>49.7</v>
      </c>
      <c r="C84" s="10">
        <f>SUM(Results!G908:G910)</f>
        <v>55.1</v>
      </c>
      <c r="D84" s="10">
        <f>SUM(Results!G911:G914)</f>
        <v>55.7</v>
      </c>
      <c r="E84" s="10">
        <f>AVERAGE(B84:D84)</f>
        <v>53.5</v>
      </c>
      <c r="F84" s="11" t="str">
        <f>IF(E84&gt;=80,"HD/D range",IF(E84&gt;=70,"D range",IF(E84&gt;=60,"C range",IF(E84&gt;=50,"P range","At risk"))))</f>
        <v>P range</v>
      </c>
    </row>
    <row r="85" spans="1:6" ht="15" customHeight="1">
      <c r="A85" s="9" t="s">
        <v>155</v>
      </c>
      <c r="B85" s="10">
        <f>SUM(Results!G915:G918)</f>
        <v>46.6</v>
      </c>
      <c r="C85" s="10">
        <f>SUM(Results!G919:G921)</f>
        <v>47.4</v>
      </c>
      <c r="D85" s="10">
        <f>SUM(Results!G922:G925)</f>
        <v>47.4</v>
      </c>
      <c r="E85" s="10">
        <f>AVERAGE(B85:D85)</f>
        <v>47.133333333333333</v>
      </c>
      <c r="F85" s="11" t="str">
        <f>IF(E85&gt;=80,"HD/D range",IF(E85&gt;=70,"D range",IF(E85&gt;=60,"C range",IF(E85&gt;=50,"P range","At risk"))))</f>
        <v>At risk</v>
      </c>
    </row>
    <row r="86" spans="1:6" ht="15" customHeight="1">
      <c r="A86" s="9" t="s">
        <v>156</v>
      </c>
      <c r="B86" s="10">
        <f>SUM(Results!G926:G929)</f>
        <v>65.400000000000006</v>
      </c>
      <c r="C86" s="10">
        <f>SUM(Results!G930:G932)</f>
        <v>61.9</v>
      </c>
      <c r="D86" s="10">
        <f>SUM(Results!G933:G936)</f>
        <v>66.849999999999994</v>
      </c>
      <c r="E86" s="10">
        <f>AVERAGE(B86:D86)</f>
        <v>64.716666666666669</v>
      </c>
      <c r="F86" s="11" t="str">
        <f>IF(E86&gt;=80,"HD/D range",IF(E86&gt;=70,"D range",IF(E86&gt;=60,"C range",IF(E86&gt;=50,"P range","At risk"))))</f>
        <v>C range</v>
      </c>
    </row>
    <row r="87" spans="1:6" ht="15" customHeight="1">
      <c r="A87" s="9" t="s">
        <v>157</v>
      </c>
      <c r="B87" s="10">
        <f>SUM(Results!G937:G940)</f>
        <v>84.25</v>
      </c>
      <c r="C87" s="10">
        <f>SUM(Results!G941:G943)</f>
        <v>77</v>
      </c>
      <c r="D87" s="10">
        <f>SUM(Results!G944:G947)</f>
        <v>80.55</v>
      </c>
      <c r="E87" s="10">
        <f>AVERAGE(B87:D87)</f>
        <v>80.600000000000009</v>
      </c>
      <c r="F87" s="11" t="str">
        <f>IF(E87&gt;=80,"HD/D range",IF(E87&gt;=70,"D range",IF(E87&gt;=60,"C range",IF(E87&gt;=50,"P range","At risk"))))</f>
        <v>HD/D range</v>
      </c>
    </row>
    <row r="88" spans="1:6" ht="15" customHeight="1">
      <c r="A88" s="9" t="s">
        <v>158</v>
      </c>
      <c r="B88" s="10">
        <f>SUM(Results!G948:G951)</f>
        <v>57.25</v>
      </c>
      <c r="C88" s="10">
        <f>SUM(Results!G952:G954)</f>
        <v>59.5</v>
      </c>
      <c r="D88" s="10">
        <f>SUM(Results!G955:G958)</f>
        <v>62.3</v>
      </c>
      <c r="E88" s="10">
        <f>AVERAGE(B88:D88)</f>
        <v>59.683333333333337</v>
      </c>
      <c r="F88" s="11" t="str">
        <f>IF(E88&gt;=80,"HD/D range",IF(E88&gt;=70,"D range",IF(E88&gt;=60,"C range",IF(E88&gt;=50,"P range","At risk"))))</f>
        <v>P range</v>
      </c>
    </row>
    <row r="89" spans="1:6" ht="15" customHeight="1">
      <c r="A89" s="9" t="s">
        <v>159</v>
      </c>
      <c r="B89" s="10">
        <f>SUM(Results!G959:G962)</f>
        <v>75.300000000000011</v>
      </c>
      <c r="C89" s="10">
        <f>SUM(Results!G963:G965)</f>
        <v>73.599999999999994</v>
      </c>
      <c r="D89" s="10">
        <f>SUM(Results!G966:G969)</f>
        <v>71.55</v>
      </c>
      <c r="E89" s="10">
        <f>AVERAGE(B89:D89)</f>
        <v>73.483333333333334</v>
      </c>
      <c r="F89" s="11" t="str">
        <f>IF(E89&gt;=80,"HD/D range",IF(E89&gt;=70,"D range",IF(E89&gt;=60,"C range",IF(E89&gt;=50,"P range","At risk"))))</f>
        <v>D range</v>
      </c>
    </row>
    <row r="90" spans="1:6" ht="15" customHeight="1">
      <c r="A90" s="9" t="s">
        <v>160</v>
      </c>
      <c r="B90" s="10">
        <f>SUM(Results!G970:G973)</f>
        <v>68</v>
      </c>
      <c r="C90" s="10">
        <f>SUM(Results!G974:G976)</f>
        <v>62.5</v>
      </c>
      <c r="D90" s="10">
        <f>SUM(Results!G977:G980)</f>
        <v>66.699999999999989</v>
      </c>
      <c r="E90" s="10">
        <f>AVERAGE(B90:D90)</f>
        <v>65.733333333333334</v>
      </c>
      <c r="F90" s="11" t="str">
        <f>IF(E90&gt;=80,"HD/D range",IF(E90&gt;=70,"D range",IF(E90&gt;=60,"C range",IF(E90&gt;=50,"P range","At risk"))))</f>
        <v>C range</v>
      </c>
    </row>
    <row r="91" spans="1:6" ht="15" customHeight="1">
      <c r="A91" s="9" t="s">
        <v>161</v>
      </c>
      <c r="B91" s="10">
        <f>SUM(Results!G981:G984)</f>
        <v>67.25</v>
      </c>
      <c r="C91" s="10">
        <f>SUM(Results!G985:G987)</f>
        <v>71.2</v>
      </c>
      <c r="D91" s="10">
        <f>SUM(Results!G988:G991)</f>
        <v>67.3</v>
      </c>
      <c r="E91" s="10">
        <f>AVERAGE(B91:D91)</f>
        <v>68.583333333333329</v>
      </c>
      <c r="F91" s="11" t="str">
        <f>IF(E91&gt;=80,"HD/D range",IF(E91&gt;=70,"D range",IF(E91&gt;=60,"C range",IF(E91&gt;=50,"P range","At risk"))))</f>
        <v>C range</v>
      </c>
    </row>
    <row r="92" spans="1:6" ht="15" customHeight="1">
      <c r="A92" s="9" t="s">
        <v>162</v>
      </c>
      <c r="B92" s="10">
        <f>SUM(Results!G992:G995)</f>
        <v>78.349999999999994</v>
      </c>
      <c r="C92" s="10">
        <f>SUM(Results!G996:G998)</f>
        <v>81.099999999999994</v>
      </c>
      <c r="D92" s="10">
        <f>SUM(Results!G999:G1002)</f>
        <v>80.849999999999994</v>
      </c>
      <c r="E92" s="10">
        <f>AVERAGE(B92:D92)</f>
        <v>80.099999999999994</v>
      </c>
      <c r="F92" s="11" t="str">
        <f>IF(E92&gt;=80,"HD/D range",IF(E92&gt;=70,"D range",IF(E92&gt;=60,"C range",IF(E92&gt;=50,"P range","At risk"))))</f>
        <v>HD/D range</v>
      </c>
    </row>
    <row r="93" spans="1:6" ht="15" customHeight="1">
      <c r="A93" s="9" t="s">
        <v>163</v>
      </c>
      <c r="B93" s="10">
        <f>SUM(Results!G1003:G1006)</f>
        <v>62.599999999999994</v>
      </c>
      <c r="C93" s="10">
        <f>SUM(Results!G1007:G1009)</f>
        <v>61.1</v>
      </c>
      <c r="D93" s="10">
        <f>SUM(Results!G1010:G1013)</f>
        <v>62.249999999999993</v>
      </c>
      <c r="E93" s="10">
        <f>AVERAGE(B93:D93)</f>
        <v>61.983333333333327</v>
      </c>
      <c r="F93" s="11" t="str">
        <f>IF(E93&gt;=80,"HD/D range",IF(E93&gt;=70,"D range",IF(E93&gt;=60,"C range",IF(E93&gt;=50,"P range","At risk"))))</f>
        <v>C range</v>
      </c>
    </row>
    <row r="94" spans="1:6" ht="15" customHeight="1">
      <c r="A94" s="9" t="s">
        <v>164</v>
      </c>
      <c r="B94" s="10">
        <f>SUM(Results!G1014:G1017)</f>
        <v>63.8</v>
      </c>
      <c r="C94" s="10">
        <f>SUM(Results!G1018:G1020)</f>
        <v>64.3</v>
      </c>
      <c r="D94" s="10">
        <f>SUM(Results!G1021:G1024)</f>
        <v>65.75</v>
      </c>
      <c r="E94" s="10">
        <f>AVERAGE(B94:D94)</f>
        <v>64.61666666666666</v>
      </c>
      <c r="F94" s="11" t="str">
        <f>IF(E94&gt;=80,"HD/D range",IF(E94&gt;=70,"D range",IF(E94&gt;=60,"C range",IF(E94&gt;=50,"P range","At risk"))))</f>
        <v>C range</v>
      </c>
    </row>
    <row r="95" spans="1:6" ht="15" customHeight="1">
      <c r="A95" s="9" t="s">
        <v>165</v>
      </c>
      <c r="B95" s="10">
        <f>SUM(Results!G1025:G1028)</f>
        <v>65.800000000000011</v>
      </c>
      <c r="C95" s="10">
        <f>SUM(Results!G1029:G1031)</f>
        <v>65</v>
      </c>
      <c r="D95" s="10">
        <f>SUM(Results!G1032:G1035)</f>
        <v>62.749999999999993</v>
      </c>
      <c r="E95" s="10">
        <f>AVERAGE(B95:D95)</f>
        <v>64.516666666666666</v>
      </c>
      <c r="F95" s="11" t="str">
        <f>IF(E95&gt;=80,"HD/D range",IF(E95&gt;=70,"D range",IF(E95&gt;=60,"C range",IF(E95&gt;=50,"P range","At risk"))))</f>
        <v>C range</v>
      </c>
    </row>
    <row r="96" spans="1:6" ht="15" customHeight="1">
      <c r="A96" s="9" t="s">
        <v>166</v>
      </c>
      <c r="B96" s="10">
        <f>SUM(Results!G1036:G1039)</f>
        <v>58.1</v>
      </c>
      <c r="C96" s="10">
        <f>SUM(Results!G1040:G1042)</f>
        <v>61.4</v>
      </c>
      <c r="D96" s="10">
        <f>SUM(Results!G1043:G1046)</f>
        <v>61.749999999999993</v>
      </c>
      <c r="E96" s="10">
        <f>AVERAGE(B96:D96)</f>
        <v>60.416666666666664</v>
      </c>
      <c r="F96" s="11" t="str">
        <f>IF(E96&gt;=80,"HD/D range",IF(E96&gt;=70,"D range",IF(E96&gt;=60,"C range",IF(E96&gt;=50,"P range","At risk"))))</f>
        <v>C range</v>
      </c>
    </row>
    <row r="97" spans="1:6" ht="15" customHeight="1">
      <c r="A97" s="9" t="s">
        <v>167</v>
      </c>
      <c r="B97" s="10">
        <f>SUM(Results!G1047:G1050)</f>
        <v>56.55</v>
      </c>
      <c r="C97" s="10">
        <f>SUM(Results!G1051:G1053)</f>
        <v>58.3</v>
      </c>
      <c r="D97" s="10">
        <f>SUM(Results!G1054:G1057)</f>
        <v>56.849999999999994</v>
      </c>
      <c r="E97" s="10">
        <f>AVERAGE(B97:D97)</f>
        <v>57.233333333333327</v>
      </c>
      <c r="F97" s="11" t="str">
        <f>IF(E97&gt;=80,"HD/D range",IF(E97&gt;=70,"D range",IF(E97&gt;=60,"C range",IF(E97&gt;=50,"P range","At risk"))))</f>
        <v>P range</v>
      </c>
    </row>
    <row r="98" spans="1:6" ht="15" customHeight="1">
      <c r="A98" s="9" t="s">
        <v>168</v>
      </c>
      <c r="B98" s="10">
        <f>SUM(Results!G1058:G1061)</f>
        <v>73.45</v>
      </c>
      <c r="C98" s="10">
        <f>SUM(Results!G1062:G1064)</f>
        <v>75.900000000000006</v>
      </c>
      <c r="D98" s="10">
        <f>SUM(Results!G1065:G1068)</f>
        <v>76.7</v>
      </c>
      <c r="E98" s="10">
        <f>AVERAGE(B98:D98)</f>
        <v>75.350000000000009</v>
      </c>
      <c r="F98" s="11" t="str">
        <f>IF(E98&gt;=80,"HD/D range",IF(E98&gt;=70,"D range",IF(E98&gt;=60,"C range",IF(E98&gt;=50,"P range","At risk"))))</f>
        <v>D range</v>
      </c>
    </row>
    <row r="99" spans="1:6" ht="15" customHeight="1">
      <c r="A99" s="9" t="s">
        <v>169</v>
      </c>
      <c r="B99" s="10">
        <f>SUM(Results!G1069:G1072)</f>
        <v>81</v>
      </c>
      <c r="C99" s="10">
        <f>SUM(Results!G1073:G1075)</f>
        <v>75</v>
      </c>
      <c r="D99" s="10">
        <f>SUM(Results!G1076:G1079)</f>
        <v>82.55</v>
      </c>
      <c r="E99" s="10">
        <f>AVERAGE(B99:D99)</f>
        <v>79.516666666666666</v>
      </c>
      <c r="F99" s="11" t="str">
        <f>IF(E99&gt;=80,"HD/D range",IF(E99&gt;=70,"D range",IF(E99&gt;=60,"C range",IF(E99&gt;=50,"P range","At risk"))))</f>
        <v>D range</v>
      </c>
    </row>
    <row r="100" spans="1:6" ht="15" customHeight="1">
      <c r="A100" s="9" t="s">
        <v>170</v>
      </c>
      <c r="B100" s="10">
        <f>SUM(Results!G1080:G1083)</f>
        <v>63.100000000000009</v>
      </c>
      <c r="C100" s="10">
        <f>SUM(Results!G1084:G1086)</f>
        <v>62.1</v>
      </c>
      <c r="D100" s="10">
        <f>SUM(Results!G1087:G1090)</f>
        <v>59.599999999999994</v>
      </c>
      <c r="E100" s="10">
        <f>AVERAGE(B100:D100)</f>
        <v>61.6</v>
      </c>
      <c r="F100" s="11" t="str">
        <f>IF(E100&gt;=80,"HD/D range",IF(E100&gt;=70,"D range",IF(E100&gt;=60,"C range",IF(E100&gt;=50,"P range","At risk"))))</f>
        <v>C range</v>
      </c>
    </row>
    <row r="101" spans="1:6" ht="15" customHeight="1">
      <c r="A101" s="9" t="s">
        <v>171</v>
      </c>
      <c r="B101" s="10">
        <f>SUM(Results!G1091:G1094)</f>
        <v>58.6</v>
      </c>
      <c r="C101" s="10">
        <f>SUM(Results!G1095:G1097)</f>
        <v>59.7</v>
      </c>
      <c r="D101" s="10">
        <f>SUM(Results!G1098:G1101)</f>
        <v>57.650000000000006</v>
      </c>
      <c r="E101" s="10">
        <f>AVERAGE(B101:D101)</f>
        <v>58.650000000000006</v>
      </c>
      <c r="F101" s="11" t="str">
        <f>IF(E101&gt;=80,"HD/D range",IF(E101&gt;=70,"D range",IF(E101&gt;=60,"C range",IF(E101&gt;=50,"P range","At risk"))))</f>
        <v>P range</v>
      </c>
    </row>
    <row r="102" spans="1:6" ht="15" customHeight="1">
      <c r="A102" s="9" t="s">
        <v>172</v>
      </c>
      <c r="B102" s="10">
        <f>SUM(Results!G1102:G1105)</f>
        <v>63.65</v>
      </c>
      <c r="C102" s="10">
        <f>SUM(Results!G1106:G1108)</f>
        <v>67.7</v>
      </c>
      <c r="D102" s="10">
        <f>SUM(Results!G1109:G1112)</f>
        <v>61.400000000000006</v>
      </c>
      <c r="E102" s="10">
        <f>AVERAGE(B102:D102)</f>
        <v>64.25</v>
      </c>
      <c r="F102" s="11" t="str">
        <f>IF(E102&gt;=80,"HD/D range",IF(E102&gt;=70,"D range",IF(E102&gt;=60,"C range",IF(E102&gt;=50,"P range","At risk"))))</f>
        <v>C range</v>
      </c>
    </row>
    <row r="103" spans="1:6" ht="15" customHeight="1">
      <c r="A103" s="9" t="s">
        <v>173</v>
      </c>
      <c r="B103" s="10">
        <f>SUM(Results!G1113:G1116)</f>
        <v>84.550000000000011</v>
      </c>
      <c r="C103" s="10">
        <f>SUM(Results!G1117:G1119)</f>
        <v>88.5</v>
      </c>
      <c r="D103" s="10">
        <f>SUM(Results!G1120:G1123)</f>
        <v>86.6</v>
      </c>
      <c r="E103" s="10">
        <f>AVERAGE(B103:D103)</f>
        <v>86.55</v>
      </c>
      <c r="F103" s="11" t="str">
        <f>IF(E103&gt;=80,"HD/D range",IF(E103&gt;=70,"D range",IF(E103&gt;=60,"C range",IF(E103&gt;=50,"P range","At risk"))))</f>
        <v>HD/D range</v>
      </c>
    </row>
    <row r="104" spans="1:6" ht="15" customHeight="1">
      <c r="A104" s="9" t="s">
        <v>174</v>
      </c>
      <c r="B104" s="10">
        <f>SUM(Results!G1124:G1127)</f>
        <v>76.400000000000006</v>
      </c>
      <c r="C104" s="10">
        <f>SUM(Results!G1128:G1130)</f>
        <v>77.900000000000006</v>
      </c>
      <c r="D104" s="10">
        <f>SUM(Results!G1131:G1134)</f>
        <v>73.75</v>
      </c>
      <c r="E104" s="10">
        <f>AVERAGE(B104:D104)</f>
        <v>76.016666666666666</v>
      </c>
      <c r="F104" s="11" t="str">
        <f>IF(E104&gt;=80,"HD/D range",IF(E104&gt;=70,"D range",IF(E104&gt;=60,"C range",IF(E104&gt;=50,"P range","At risk"))))</f>
        <v>D range</v>
      </c>
    </row>
    <row r="105" spans="1:6" ht="15" customHeight="1">
      <c r="A105" s="9" t="s">
        <v>175</v>
      </c>
      <c r="B105" s="10">
        <f>SUM(Results!G1135:G1138)</f>
        <v>79.099999999999994</v>
      </c>
      <c r="C105" s="10">
        <f>SUM(Results!G1139:G1141)</f>
        <v>73.8</v>
      </c>
      <c r="D105" s="10">
        <f>SUM(Results!G1142:G1145)</f>
        <v>77.349999999999994</v>
      </c>
      <c r="E105" s="10">
        <f>AVERAGE(B105:D105)</f>
        <v>76.749999999999986</v>
      </c>
      <c r="F105" s="11" t="str">
        <f>IF(E105&gt;=80,"HD/D range",IF(E105&gt;=70,"D range",IF(E105&gt;=60,"C range",IF(E105&gt;=50,"P range","At risk"))))</f>
        <v>D range</v>
      </c>
    </row>
    <row r="106" spans="1:6" ht="15" customHeight="1">
      <c r="A106" s="9" t="s">
        <v>176</v>
      </c>
      <c r="B106" s="10">
        <f>SUM(Results!G1146:G1149)</f>
        <v>69.5</v>
      </c>
      <c r="C106" s="10">
        <f>SUM(Results!G1150:G1152)</f>
        <v>72.3</v>
      </c>
      <c r="D106" s="10">
        <f>SUM(Results!G1153:G1156)</f>
        <v>69.05</v>
      </c>
      <c r="E106" s="10">
        <f>AVERAGE(B106:D106)</f>
        <v>70.283333333333346</v>
      </c>
      <c r="F106" s="11" t="str">
        <f>IF(E106&gt;=80,"HD/D range",IF(E106&gt;=70,"D range",IF(E106&gt;=60,"C range",IF(E106&gt;=50,"P range","At risk"))))</f>
        <v>D range</v>
      </c>
    </row>
    <row r="107" spans="1:6" ht="15" customHeight="1">
      <c r="A107" s="9" t="s">
        <v>177</v>
      </c>
      <c r="B107" s="10">
        <f>SUM(Results!G1157:G1160)</f>
        <v>75</v>
      </c>
      <c r="C107" s="10">
        <f>SUM(Results!G1161:G1163)</f>
        <v>78.8</v>
      </c>
      <c r="D107" s="10">
        <f>SUM(Results!G1164:G1167)</f>
        <v>81.149999999999991</v>
      </c>
      <c r="E107" s="10">
        <f>AVERAGE(B107:D107)</f>
        <v>78.316666666666663</v>
      </c>
      <c r="F107" s="11" t="str">
        <f>IF(E107&gt;=80,"HD/D range",IF(E107&gt;=70,"D range",IF(E107&gt;=60,"C range",IF(E107&gt;=50,"P range","At risk"))))</f>
        <v>D range</v>
      </c>
    </row>
    <row r="108" spans="1:6" ht="15" customHeight="1">
      <c r="A108" s="9" t="s">
        <v>178</v>
      </c>
      <c r="B108" s="10">
        <f>SUM(Results!G1168:G1171)</f>
        <v>84.550000000000011</v>
      </c>
      <c r="C108" s="10">
        <f>SUM(Results!G1172:G1174)</f>
        <v>90</v>
      </c>
      <c r="D108" s="10">
        <f>SUM(Results!G1175:G1178)</f>
        <v>86.9</v>
      </c>
      <c r="E108" s="10">
        <f>AVERAGE(B108:D108)</f>
        <v>87.15000000000002</v>
      </c>
      <c r="F108" s="11" t="str">
        <f>IF(E108&gt;=80,"HD/D range",IF(E108&gt;=70,"D range",IF(E108&gt;=60,"C range",IF(E108&gt;=50,"P range","At risk"))))</f>
        <v>HD/D range</v>
      </c>
    </row>
    <row r="109" spans="1:6" ht="15" customHeight="1">
      <c r="A109" s="9" t="s">
        <v>179</v>
      </c>
      <c r="B109" s="10">
        <f>SUM(Results!G1179:G1182)</f>
        <v>51.55</v>
      </c>
      <c r="C109" s="10">
        <f>SUM(Results!G1183:G1185)</f>
        <v>51.2</v>
      </c>
      <c r="D109" s="10">
        <f>SUM(Results!G1186:G1189)</f>
        <v>52.8</v>
      </c>
      <c r="E109" s="10">
        <f>AVERAGE(B109:D109)</f>
        <v>51.85</v>
      </c>
      <c r="F109" s="11" t="str">
        <f>IF(E109&gt;=80,"HD/D range",IF(E109&gt;=70,"D range",IF(E109&gt;=60,"C range",IF(E109&gt;=50,"P range","At risk"))))</f>
        <v>P range</v>
      </c>
    </row>
    <row r="110" spans="1:6" ht="15" customHeight="1">
      <c r="A110" s="9" t="s">
        <v>180</v>
      </c>
      <c r="B110" s="10">
        <f>SUM(Results!G1190:G1193)</f>
        <v>69</v>
      </c>
      <c r="C110" s="10">
        <f>SUM(Results!G1194:G1196)</f>
        <v>68.099999999999994</v>
      </c>
      <c r="D110" s="10">
        <f>SUM(Results!G1197:G1200)</f>
        <v>69.400000000000006</v>
      </c>
      <c r="E110" s="10">
        <f>AVERAGE(B110:D110)</f>
        <v>68.833333333333329</v>
      </c>
      <c r="F110" s="11" t="str">
        <f>IF(E110&gt;=80,"HD/D range",IF(E110&gt;=70,"D range",IF(E110&gt;=60,"C range",IF(E110&gt;=50,"P range","At risk"))))</f>
        <v>C range</v>
      </c>
    </row>
    <row r="111" spans="1:6" ht="15" customHeight="1">
      <c r="A111" s="9" t="s">
        <v>181</v>
      </c>
      <c r="B111" s="10">
        <f>SUM(Results!G1201:G1204)</f>
        <v>66.25</v>
      </c>
      <c r="C111" s="10">
        <f>SUM(Results!G1205:G1207)</f>
        <v>65</v>
      </c>
      <c r="D111" s="10">
        <f>SUM(Results!G1208:G1211)</f>
        <v>65.25</v>
      </c>
      <c r="E111" s="10">
        <f>AVERAGE(B111:D111)</f>
        <v>65.5</v>
      </c>
      <c r="F111" s="11" t="str">
        <f>IF(E111&gt;=80,"HD/D range",IF(E111&gt;=70,"D range",IF(E111&gt;=60,"C range",IF(E111&gt;=50,"P range","At risk"))))</f>
        <v>C range</v>
      </c>
    </row>
    <row r="112" spans="1:6" ht="15" customHeight="1">
      <c r="A112" s="9" t="s">
        <v>182</v>
      </c>
      <c r="B112" s="10">
        <f>SUM(Results!G1212:G1215)</f>
        <v>69.550000000000011</v>
      </c>
      <c r="C112" s="10">
        <f>SUM(Results!G1216:G1218)</f>
        <v>71.5</v>
      </c>
      <c r="D112" s="10">
        <f>SUM(Results!G1219:G1222)</f>
        <v>65.55</v>
      </c>
      <c r="E112" s="10">
        <f>AVERAGE(B112:D112)</f>
        <v>68.866666666666674</v>
      </c>
      <c r="F112" s="11" t="str">
        <f>IF(E112&gt;=80,"HD/D range",IF(E112&gt;=70,"D range",IF(E112&gt;=60,"C range",IF(E112&gt;=50,"P range","At risk"))))</f>
        <v>C range</v>
      </c>
    </row>
    <row r="113" spans="1:6" ht="15" customHeight="1">
      <c r="A113" s="9" t="s">
        <v>183</v>
      </c>
      <c r="B113" s="10">
        <f>SUM(Results!G1223:G1226)</f>
        <v>82.7</v>
      </c>
      <c r="C113" s="10">
        <f>SUM(Results!G1227:G1229)</f>
        <v>78.2</v>
      </c>
      <c r="D113" s="10">
        <f>SUM(Results!G1230:G1233)</f>
        <v>77.449999999999989</v>
      </c>
      <c r="E113" s="10">
        <f>AVERAGE(B113:D113)</f>
        <v>79.45</v>
      </c>
      <c r="F113" s="11" t="str">
        <f>IF(E113&gt;=80,"HD/D range",IF(E113&gt;=70,"D range",IF(E113&gt;=60,"C range",IF(E113&gt;=50,"P range","At risk"))))</f>
        <v>D range</v>
      </c>
    </row>
    <row r="114" spans="1:6" ht="15" customHeight="1">
      <c r="A114" s="9" t="s">
        <v>184</v>
      </c>
      <c r="B114" s="10">
        <f>SUM(Results!G1234:G1237)</f>
        <v>82.6</v>
      </c>
      <c r="C114" s="10">
        <f>SUM(Results!G1238:G1240)</f>
        <v>80.5</v>
      </c>
      <c r="D114" s="10">
        <f>SUM(Results!G1241:G1244)</f>
        <v>85.35</v>
      </c>
      <c r="E114" s="10">
        <f>AVERAGE(B114:D114)</f>
        <v>82.816666666666663</v>
      </c>
      <c r="F114" s="11" t="str">
        <f>IF(E114&gt;=80,"HD/D range",IF(E114&gt;=70,"D range",IF(E114&gt;=60,"C range",IF(E114&gt;=50,"P range","At risk"))))</f>
        <v>HD/D range</v>
      </c>
    </row>
    <row r="115" spans="1:6" ht="15" customHeight="1">
      <c r="A115" s="9" t="s">
        <v>185</v>
      </c>
      <c r="B115" s="10">
        <f>SUM(Results!G1245:G1248)</f>
        <v>68.25</v>
      </c>
      <c r="C115" s="10">
        <f>SUM(Results!G1249:G1251)</f>
        <v>69.3</v>
      </c>
      <c r="D115" s="10">
        <f>SUM(Results!G1252:G1255)</f>
        <v>66.649999999999991</v>
      </c>
      <c r="E115" s="10">
        <f>AVERAGE(B115:D115)</f>
        <v>68.066666666666663</v>
      </c>
      <c r="F115" s="11" t="str">
        <f>IF(E115&gt;=80,"HD/D range",IF(E115&gt;=70,"D range",IF(E115&gt;=60,"C range",IF(E115&gt;=50,"P range","At risk"))))</f>
        <v>C range</v>
      </c>
    </row>
    <row r="116" spans="1:6" ht="15" customHeight="1">
      <c r="A116" s="9" t="s">
        <v>186</v>
      </c>
      <c r="B116" s="10">
        <f>SUM(Results!G1256:G1259)</f>
        <v>58.150000000000006</v>
      </c>
      <c r="C116" s="10">
        <f>SUM(Results!G1260:G1262)</f>
        <v>56.7</v>
      </c>
      <c r="D116" s="10">
        <f>SUM(Results!G1263:G1266)</f>
        <v>55.199999999999996</v>
      </c>
      <c r="E116" s="10">
        <f>AVERAGE(B116:D116)</f>
        <v>56.683333333333337</v>
      </c>
      <c r="F116" s="11" t="str">
        <f>IF(E116&gt;=80,"HD/D range",IF(E116&gt;=70,"D range",IF(E116&gt;=60,"C range",IF(E116&gt;=50,"P range","At risk"))))</f>
        <v>P range</v>
      </c>
    </row>
    <row r="117" spans="1:6" ht="15" customHeight="1">
      <c r="A117" s="9" t="s">
        <v>187</v>
      </c>
      <c r="B117" s="10">
        <f>SUM(Results!G1267:G1270)</f>
        <v>69.75</v>
      </c>
      <c r="C117" s="10">
        <f>SUM(Results!G1271:G1273)</f>
        <v>66.8</v>
      </c>
      <c r="D117" s="10">
        <f>SUM(Results!G1274:G1277)</f>
        <v>70.2</v>
      </c>
      <c r="E117" s="10">
        <f>AVERAGE(B117:D117)</f>
        <v>68.916666666666671</v>
      </c>
      <c r="F117" s="11" t="str">
        <f>IF(E117&gt;=80,"HD/D range",IF(E117&gt;=70,"D range",IF(E117&gt;=60,"C range",IF(E117&gt;=50,"P range","At risk"))))</f>
        <v>C range</v>
      </c>
    </row>
    <row r="118" spans="1:6" ht="15" customHeight="1">
      <c r="A118" s="9" t="s">
        <v>188</v>
      </c>
      <c r="B118" s="10">
        <f>SUM(Results!G1278:G1281)</f>
        <v>74.099999999999994</v>
      </c>
      <c r="C118" s="10">
        <f>SUM(Results!G1282:G1284)</f>
        <v>74.400000000000006</v>
      </c>
      <c r="D118" s="10">
        <f>SUM(Results!G1285:G1288)</f>
        <v>71.900000000000006</v>
      </c>
      <c r="E118" s="10">
        <f>AVERAGE(B118:D118)</f>
        <v>73.466666666666669</v>
      </c>
      <c r="F118" s="11" t="str">
        <f>IF(E118&gt;=80,"HD/D range",IF(E118&gt;=70,"D range",IF(E118&gt;=60,"C range",IF(E118&gt;=50,"P range","At risk"))))</f>
        <v>D range</v>
      </c>
    </row>
    <row r="119" spans="1:6" ht="15" customHeight="1">
      <c r="A119" s="9" t="s">
        <v>189</v>
      </c>
      <c r="B119" s="10">
        <f>SUM(Results!G1289:G1292)</f>
        <v>52.8</v>
      </c>
      <c r="C119" s="10">
        <f>SUM(Results!G1293:G1295)</f>
        <v>58.5</v>
      </c>
      <c r="D119" s="10">
        <f>SUM(Results!G1296:G1299)</f>
        <v>53.85</v>
      </c>
      <c r="E119" s="10">
        <f>AVERAGE(B119:D119)</f>
        <v>55.050000000000004</v>
      </c>
      <c r="F119" s="11" t="str">
        <f>IF(E119&gt;=80,"HD/D range",IF(E119&gt;=70,"D range",IF(E119&gt;=60,"C range",IF(E119&gt;=50,"P range","At risk"))))</f>
        <v>P range</v>
      </c>
    </row>
    <row r="120" spans="1:6" ht="15" customHeight="1">
      <c r="A120" s="9" t="s">
        <v>190</v>
      </c>
      <c r="B120" s="10">
        <f>SUM(Results!G1300:G1303)</f>
        <v>92.35</v>
      </c>
      <c r="C120" s="10">
        <f>SUM(Results!G1304:G1306)</f>
        <v>88.3</v>
      </c>
      <c r="D120" s="10">
        <f>SUM(Results!G1307:G1310)</f>
        <v>91.4</v>
      </c>
      <c r="E120" s="10">
        <f>AVERAGE(B120:D120)</f>
        <v>90.683333333333323</v>
      </c>
      <c r="F120" s="11" t="str">
        <f>IF(E120&gt;=80,"HD/D range",IF(E120&gt;=70,"D range",IF(E120&gt;=60,"C range",IF(E120&gt;=50,"P range","At risk"))))</f>
        <v>HD/D range</v>
      </c>
    </row>
    <row r="121" spans="1:6" ht="15" customHeight="1">
      <c r="A121" s="9" t="s">
        <v>191</v>
      </c>
      <c r="B121" s="10">
        <f>SUM(Results!G1311:G1314)</f>
        <v>87.050000000000011</v>
      </c>
      <c r="C121" s="10">
        <f>SUM(Results!G1315:G1317)</f>
        <v>88.8</v>
      </c>
      <c r="D121" s="10">
        <f>SUM(Results!G1318:G1321)</f>
        <v>90</v>
      </c>
      <c r="E121" s="10">
        <f>AVERAGE(B121:D121)</f>
        <v>88.616666666666674</v>
      </c>
      <c r="F121" s="11" t="str">
        <f>IF(E121&gt;=80,"HD/D range",IF(E121&gt;=70,"D range",IF(E121&gt;=60,"C range",IF(E121&gt;=50,"P range","At risk"))))</f>
        <v>HD/D range</v>
      </c>
    </row>
    <row r="122" spans="1:6" ht="15" customHeight="1">
      <c r="A122" s="9" t="s">
        <v>192</v>
      </c>
      <c r="B122" s="10">
        <f>SUM(Results!G1322:G1325)</f>
        <v>63.650000000000006</v>
      </c>
      <c r="C122" s="10">
        <f>SUM(Results!G1326:G1328)</f>
        <v>65.599999999999994</v>
      </c>
      <c r="D122" s="10">
        <f>SUM(Results!G1329:G1332)</f>
        <v>65.8</v>
      </c>
      <c r="E122" s="10">
        <f>AVERAGE(B122:D122)</f>
        <v>65.016666666666666</v>
      </c>
      <c r="F122" s="11" t="str">
        <f>IF(E122&gt;=80,"HD/D range",IF(E122&gt;=70,"D range",IF(E122&gt;=60,"C range",IF(E122&gt;=50,"P range","At risk"))))</f>
        <v>C range</v>
      </c>
    </row>
    <row r="123" spans="1:6" ht="15" customHeight="1">
      <c r="A123" s="9" t="s">
        <v>193</v>
      </c>
      <c r="B123" s="10">
        <f>SUM(Results!G1333:G1336)</f>
        <v>70.350000000000009</v>
      </c>
      <c r="C123" s="10">
        <f>SUM(Results!G1337:G1339)</f>
        <v>68.5</v>
      </c>
      <c r="D123" s="10">
        <f>SUM(Results!G1340:G1343)</f>
        <v>69.55</v>
      </c>
      <c r="E123" s="10">
        <f>AVERAGE(B123:D123)</f>
        <v>69.466666666666683</v>
      </c>
      <c r="F123" s="11" t="str">
        <f>IF(E123&gt;=80,"HD/D range",IF(E123&gt;=70,"D range",IF(E123&gt;=60,"C range",IF(E123&gt;=50,"P range","At risk"))))</f>
        <v>C range</v>
      </c>
    </row>
    <row r="124" spans="1:6" ht="15" customHeight="1">
      <c r="A124" s="9" t="s">
        <v>194</v>
      </c>
      <c r="B124" s="10">
        <f>SUM(Results!G1344:G1347)</f>
        <v>64.849999999999994</v>
      </c>
      <c r="C124" s="10">
        <f>SUM(Results!G1348:G1350)</f>
        <v>69.900000000000006</v>
      </c>
      <c r="D124" s="10">
        <f>SUM(Results!G1351:G1354)</f>
        <v>71.75</v>
      </c>
      <c r="E124" s="10">
        <f>AVERAGE(B124:D124)</f>
        <v>68.833333333333329</v>
      </c>
      <c r="F124" s="11" t="str">
        <f>IF(E124&gt;=80,"HD/D range",IF(E124&gt;=70,"D range",IF(E124&gt;=60,"C range",IF(E124&gt;=50,"P range","At risk"))))</f>
        <v>C range</v>
      </c>
    </row>
    <row r="125" spans="1:6" ht="15" customHeight="1">
      <c r="A125" s="9" t="s">
        <v>195</v>
      </c>
      <c r="B125" s="10">
        <f>SUM(Results!G1355:G1358)</f>
        <v>63.400000000000006</v>
      </c>
      <c r="C125" s="10">
        <f>SUM(Results!G1359:G1361)</f>
        <v>61.5</v>
      </c>
      <c r="D125" s="10">
        <f>SUM(Results!G1362:G1365)</f>
        <v>62.899999999999991</v>
      </c>
      <c r="E125" s="10">
        <f>AVERAGE(B125:D125)</f>
        <v>62.6</v>
      </c>
      <c r="F125" s="11" t="str">
        <f>IF(E125&gt;=80,"HD/D range",IF(E125&gt;=70,"D range",IF(E125&gt;=60,"C range",IF(E125&gt;=50,"P range","At risk"))))</f>
        <v>C range</v>
      </c>
    </row>
    <row r="126" spans="1:6" ht="15" customHeight="1">
      <c r="A126" s="9" t="s">
        <v>196</v>
      </c>
      <c r="B126" s="10">
        <f>SUM(Results!G1366:G1369)</f>
        <v>69.349999999999994</v>
      </c>
      <c r="C126" s="10">
        <f>SUM(Results!G1370:G1372)</f>
        <v>67.5</v>
      </c>
      <c r="D126" s="10">
        <f>SUM(Results!G1373:G1376)</f>
        <v>68.05</v>
      </c>
      <c r="E126" s="10">
        <f>AVERAGE(B126:D126)</f>
        <v>68.3</v>
      </c>
      <c r="F126" s="11" t="str">
        <f>IF(E126&gt;=80,"HD/D range",IF(E126&gt;=70,"D range",IF(E126&gt;=60,"C range",IF(E126&gt;=50,"P range","At risk"))))</f>
        <v>C range</v>
      </c>
    </row>
    <row r="127" spans="1:6" ht="15" customHeight="1">
      <c r="A127" s="9" t="s">
        <v>197</v>
      </c>
      <c r="B127" s="10">
        <f>SUM(Results!G1377:G1380)</f>
        <v>50.95</v>
      </c>
      <c r="C127" s="10">
        <f>SUM(Results!G1381:G1383)</f>
        <v>53.2</v>
      </c>
      <c r="D127" s="10">
        <f>SUM(Results!G1384:G1387)</f>
        <v>55.599999999999994</v>
      </c>
      <c r="E127" s="10">
        <f>AVERAGE(B127:D127)</f>
        <v>53.25</v>
      </c>
      <c r="F127" s="11" t="str">
        <f>IF(E127&gt;=80,"HD/D range",IF(E127&gt;=70,"D range",IF(E127&gt;=60,"C range",IF(E127&gt;=50,"P range","At risk"))))</f>
        <v>P range</v>
      </c>
    </row>
    <row r="128" spans="1:6" ht="15" customHeight="1">
      <c r="A128" s="9" t="s">
        <v>198</v>
      </c>
      <c r="B128" s="10">
        <f>SUM(Results!G1388:G1391)</f>
        <v>80.349999999999994</v>
      </c>
      <c r="C128" s="10">
        <f>SUM(Results!G1392:G1394)</f>
        <v>82.6</v>
      </c>
      <c r="D128" s="10">
        <f>SUM(Results!G1395:G1398)</f>
        <v>85.3</v>
      </c>
      <c r="E128" s="10">
        <f>AVERAGE(B128:D128)</f>
        <v>82.75</v>
      </c>
      <c r="F128" s="11" t="str">
        <f>IF(E128&gt;=80,"HD/D range",IF(E128&gt;=70,"D range",IF(E128&gt;=60,"C range",IF(E128&gt;=50,"P range","At risk"))))</f>
        <v>HD/D range</v>
      </c>
    </row>
    <row r="129" spans="1:6" ht="15" customHeight="1">
      <c r="A129" s="9" t="s">
        <v>199</v>
      </c>
      <c r="B129" s="10">
        <f>SUM(Results!G1399:G1402)</f>
        <v>61.849999999999994</v>
      </c>
      <c r="C129" s="10">
        <f>SUM(Results!G1403:G1405)</f>
        <v>65.7</v>
      </c>
      <c r="D129" s="10">
        <f>SUM(Results!G1406:G1409)</f>
        <v>66.55</v>
      </c>
      <c r="E129" s="10">
        <f>AVERAGE(B129:D129)</f>
        <v>64.7</v>
      </c>
      <c r="F129" s="11" t="str">
        <f>IF(E129&gt;=80,"HD/D range",IF(E129&gt;=70,"D range",IF(E129&gt;=60,"C range",IF(E129&gt;=50,"P range","At risk"))))</f>
        <v>C range</v>
      </c>
    </row>
    <row r="130" spans="1:6" ht="15" customHeight="1">
      <c r="A130" s="9" t="s">
        <v>200</v>
      </c>
      <c r="B130" s="10">
        <f>SUM(Results!G1410:G1413)</f>
        <v>73.95</v>
      </c>
      <c r="C130" s="10">
        <f>SUM(Results!G1414:G1416)</f>
        <v>72.7</v>
      </c>
      <c r="D130" s="10">
        <f>SUM(Results!G1417:G1420)</f>
        <v>78.75</v>
      </c>
      <c r="E130" s="10">
        <f>AVERAGE(B130:D130)</f>
        <v>75.13333333333334</v>
      </c>
      <c r="F130" s="11" t="str">
        <f>IF(E130&gt;=80,"HD/D range",IF(E130&gt;=70,"D range",IF(E130&gt;=60,"C range",IF(E130&gt;=50,"P range","At risk"))))</f>
        <v>D range</v>
      </c>
    </row>
    <row r="131" spans="1:6" ht="15" customHeight="1">
      <c r="A131" s="9" t="s">
        <v>201</v>
      </c>
      <c r="B131" s="10">
        <f>SUM(Results!G1421:G1424)</f>
        <v>48.25</v>
      </c>
      <c r="C131" s="10">
        <f>SUM(Results!G1425:G1427)</f>
        <v>45</v>
      </c>
      <c r="D131" s="10">
        <f>SUM(Results!G1428:G1431)</f>
        <v>48.25</v>
      </c>
      <c r="E131" s="10">
        <f>AVERAGE(B131:D131)</f>
        <v>47.166666666666664</v>
      </c>
      <c r="F131" s="11" t="str">
        <f>IF(E131&gt;=80,"HD/D range",IF(E131&gt;=70,"D range",IF(E131&gt;=60,"C range",IF(E131&gt;=50,"P range","At risk"))))</f>
        <v>At risk</v>
      </c>
    </row>
    <row r="132" spans="1:6" ht="15" customHeight="1">
      <c r="A132" s="9" t="s">
        <v>202</v>
      </c>
      <c r="B132" s="10">
        <f>SUM(Results!G1432:G1435)</f>
        <v>62.650000000000006</v>
      </c>
      <c r="C132" s="10">
        <f>SUM(Results!G1436:G1438)</f>
        <v>60</v>
      </c>
      <c r="D132" s="10">
        <f>SUM(Results!G1439:G1442)</f>
        <v>63.2</v>
      </c>
      <c r="E132" s="10">
        <f>AVERAGE(B132:D132)</f>
        <v>61.95000000000001</v>
      </c>
      <c r="F132" s="11" t="str">
        <f>IF(E132&gt;=80,"HD/D range",IF(E132&gt;=70,"D range",IF(E132&gt;=60,"C range",IF(E132&gt;=50,"P range","At risk"))))</f>
        <v>C range</v>
      </c>
    </row>
    <row r="133" spans="1:6" ht="15" customHeight="1">
      <c r="A133" s="9" t="s">
        <v>203</v>
      </c>
      <c r="B133" s="10">
        <f>SUM(Results!G1443:G1446)</f>
        <v>64.75</v>
      </c>
      <c r="C133" s="10">
        <f>SUM(Results!G1447:G1449)</f>
        <v>61.8</v>
      </c>
      <c r="D133" s="10">
        <f>SUM(Results!G1450:G1453)</f>
        <v>64.8</v>
      </c>
      <c r="E133" s="10">
        <f>AVERAGE(B133:D133)</f>
        <v>63.783333333333331</v>
      </c>
      <c r="F133" s="11" t="str">
        <f>IF(E133&gt;=80,"HD/D range",IF(E133&gt;=70,"D range",IF(E133&gt;=60,"C range",IF(E133&gt;=50,"P range","At risk"))))</f>
        <v>C range</v>
      </c>
    </row>
    <row r="134" spans="1:6" ht="15" customHeight="1">
      <c r="A134" s="9" t="s">
        <v>204</v>
      </c>
      <c r="B134" s="10">
        <f>SUM(Results!G1454:G1457)</f>
        <v>85.800000000000011</v>
      </c>
      <c r="C134" s="10">
        <f>SUM(Results!G1458:G1460)</f>
        <v>83.4</v>
      </c>
      <c r="D134" s="10">
        <f>SUM(Results!G1461:G1464)</f>
        <v>84.449999999999989</v>
      </c>
      <c r="E134" s="10">
        <f>AVERAGE(B134:D134)</f>
        <v>84.55</v>
      </c>
      <c r="F134" s="11" t="str">
        <f>IF(E134&gt;=80,"HD/D range",IF(E134&gt;=70,"D range",IF(E134&gt;=60,"C range",IF(E134&gt;=50,"P range","At risk"))))</f>
        <v>HD/D range</v>
      </c>
    </row>
    <row r="135" spans="1:6" ht="15" customHeight="1">
      <c r="A135" s="9" t="s">
        <v>205</v>
      </c>
      <c r="B135" s="10">
        <f>SUM(Results!G1465:G1468)</f>
        <v>60.3</v>
      </c>
      <c r="C135" s="10">
        <f>SUM(Results!G1469:G1471)</f>
        <v>61</v>
      </c>
      <c r="D135" s="10">
        <f>SUM(Results!G1472:G1475)</f>
        <v>59.95</v>
      </c>
      <c r="E135" s="10">
        <f>AVERAGE(B135:D135)</f>
        <v>60.416666666666664</v>
      </c>
      <c r="F135" s="11" t="str">
        <f>IF(E135&gt;=80,"HD/D range",IF(E135&gt;=70,"D range",IF(E135&gt;=60,"C range",IF(E135&gt;=50,"P range","At risk"))))</f>
        <v>C range</v>
      </c>
    </row>
    <row r="136" spans="1:6" ht="15" customHeight="1">
      <c r="A136" s="9" t="s">
        <v>206</v>
      </c>
      <c r="B136" s="10">
        <f>SUM(Results!G1476:G1479)</f>
        <v>62.2</v>
      </c>
      <c r="C136" s="10">
        <f>SUM(Results!G1480:G1482)</f>
        <v>55.1</v>
      </c>
      <c r="D136" s="10">
        <f>SUM(Results!G1483:G1486)</f>
        <v>59.4</v>
      </c>
      <c r="E136" s="10">
        <f>AVERAGE(B136:D136)</f>
        <v>58.900000000000006</v>
      </c>
      <c r="F136" s="11" t="str">
        <f>IF(E136&gt;=80,"HD/D range",IF(E136&gt;=70,"D range",IF(E136&gt;=60,"C range",IF(E136&gt;=50,"P range","At risk"))))</f>
        <v>P range</v>
      </c>
    </row>
    <row r="137" spans="1:6" ht="15" customHeight="1">
      <c r="A137" s="9" t="s">
        <v>207</v>
      </c>
      <c r="B137" s="10">
        <f>SUM(Results!G1487:G1490)</f>
        <v>47.95</v>
      </c>
      <c r="C137" s="10">
        <f>SUM(Results!G1491:G1493)</f>
        <v>48.6</v>
      </c>
      <c r="D137" s="10">
        <f>SUM(Results!G1494:G1497)</f>
        <v>46.25</v>
      </c>
      <c r="E137" s="10">
        <f>AVERAGE(B137:D137)</f>
        <v>47.6</v>
      </c>
      <c r="F137" s="11" t="str">
        <f>IF(E137&gt;=80,"HD/D range",IF(E137&gt;=70,"D range",IF(E137&gt;=60,"C range",IF(E137&gt;=50,"P range","At risk"))))</f>
        <v>At risk</v>
      </c>
    </row>
    <row r="138" spans="1:6" ht="15" customHeight="1">
      <c r="A138" s="9" t="s">
        <v>208</v>
      </c>
      <c r="B138" s="10">
        <f>SUM(Results!G1498:G1501)</f>
        <v>91.2</v>
      </c>
      <c r="C138" s="10">
        <f>SUM(Results!G1502:G1504)</f>
        <v>88.4</v>
      </c>
      <c r="D138" s="10">
        <f>SUM(Results!G1505:G1508)</f>
        <v>91.2</v>
      </c>
      <c r="E138" s="10">
        <f>AVERAGE(B138:D138)</f>
        <v>90.266666666666666</v>
      </c>
      <c r="F138" s="11" t="str">
        <f>IF(E138&gt;=80,"HD/D range",IF(E138&gt;=70,"D range",IF(E138&gt;=60,"C range",IF(E138&gt;=50,"P range","At risk"))))</f>
        <v>HD/D range</v>
      </c>
    </row>
    <row r="139" spans="1:6" ht="15" customHeight="1">
      <c r="A139" s="9" t="s">
        <v>209</v>
      </c>
      <c r="B139" s="10">
        <f>SUM(Results!G1509:G1512)</f>
        <v>71.5</v>
      </c>
      <c r="C139" s="10">
        <f>SUM(Results!G1513:G1515)</f>
        <v>65.7</v>
      </c>
      <c r="D139" s="10">
        <f>SUM(Results!G1516:G1519)</f>
        <v>68.7</v>
      </c>
      <c r="E139" s="10">
        <f>AVERAGE(B139:D139)</f>
        <v>68.633333333333326</v>
      </c>
      <c r="F139" s="11" t="str">
        <f>IF(E139&gt;=80,"HD/D range",IF(E139&gt;=70,"D range",IF(E139&gt;=60,"C range",IF(E139&gt;=50,"P range","At risk"))))</f>
        <v>C range</v>
      </c>
    </row>
    <row r="140" spans="1:6" ht="15" customHeight="1">
      <c r="A140" s="9" t="s">
        <v>210</v>
      </c>
      <c r="B140" s="10">
        <f>SUM(Results!G1520:G1523)</f>
        <v>60.35</v>
      </c>
      <c r="C140" s="10">
        <f>SUM(Results!G1524:G1526)</f>
        <v>60</v>
      </c>
      <c r="D140" s="10">
        <f>SUM(Results!G1527:G1530)</f>
        <v>63.150000000000006</v>
      </c>
      <c r="E140" s="10">
        <f>AVERAGE(B140:D140)</f>
        <v>61.166666666666664</v>
      </c>
      <c r="F140" s="11" t="str">
        <f>IF(E140&gt;=80,"HD/D range",IF(E140&gt;=70,"D range",IF(E140&gt;=60,"C range",IF(E140&gt;=50,"P range","At risk"))))</f>
        <v>C range</v>
      </c>
    </row>
    <row r="141" spans="1:6" ht="15" customHeight="1">
      <c r="A141" s="9" t="s">
        <v>211</v>
      </c>
      <c r="B141" s="10">
        <f>SUM(Results!G1531:G1534)</f>
        <v>55</v>
      </c>
      <c r="C141" s="10">
        <f>SUM(Results!G1535:G1537)</f>
        <v>54.9</v>
      </c>
      <c r="D141" s="10">
        <f>SUM(Results!G1538:G1541)</f>
        <v>58.199999999999996</v>
      </c>
      <c r="E141" s="10">
        <f>AVERAGE(B141:D141)</f>
        <v>56.033333333333331</v>
      </c>
      <c r="F141" s="11" t="str">
        <f>IF(E141&gt;=80,"HD/D range",IF(E141&gt;=70,"D range",IF(E141&gt;=60,"C range",IF(E141&gt;=50,"P range","At risk"))))</f>
        <v>P range</v>
      </c>
    </row>
    <row r="142" spans="1:6" ht="15" customHeight="1">
      <c r="A142" s="9" t="s">
        <v>212</v>
      </c>
      <c r="B142" s="10">
        <f>SUM(Results!G1542:G1545)</f>
        <v>65.75</v>
      </c>
      <c r="C142" s="10">
        <f>SUM(Results!G1546:G1548)</f>
        <v>66.599999999999994</v>
      </c>
      <c r="D142" s="10">
        <f>SUM(Results!G1549:G1552)</f>
        <v>63.7</v>
      </c>
      <c r="E142" s="10">
        <f>AVERAGE(B142:D142)</f>
        <v>65.350000000000009</v>
      </c>
      <c r="F142" s="11" t="str">
        <f>IF(E142&gt;=80,"HD/D range",IF(E142&gt;=70,"D range",IF(E142&gt;=60,"C range",IF(E142&gt;=50,"P range","At risk"))))</f>
        <v>C range</v>
      </c>
    </row>
    <row r="143" spans="1:6" ht="15" customHeight="1">
      <c r="A143" s="9" t="s">
        <v>213</v>
      </c>
      <c r="B143" s="10">
        <f>SUM(Results!G1553:G1556)</f>
        <v>66.2</v>
      </c>
      <c r="C143" s="10">
        <f>SUM(Results!G1557:G1559)</f>
        <v>69.400000000000006</v>
      </c>
      <c r="D143" s="10">
        <f>SUM(Results!G1560:G1563)</f>
        <v>67.599999999999994</v>
      </c>
      <c r="E143" s="10">
        <f>AVERAGE(B143:D143)</f>
        <v>67.733333333333334</v>
      </c>
      <c r="F143" s="11" t="str">
        <f>IF(E143&gt;=80,"HD/D range",IF(E143&gt;=70,"D range",IF(E143&gt;=60,"C range",IF(E143&gt;=50,"P range","At risk"))))</f>
        <v>C range</v>
      </c>
    </row>
    <row r="144" spans="1:6" ht="15" customHeight="1">
      <c r="A144" s="9" t="s">
        <v>214</v>
      </c>
      <c r="B144" s="10">
        <f>SUM(Results!G1564:G1567)</f>
        <v>66.850000000000009</v>
      </c>
      <c r="C144" s="10">
        <f>SUM(Results!G1568:G1570)</f>
        <v>67.400000000000006</v>
      </c>
      <c r="D144" s="10">
        <f>SUM(Results!G1571:G1574)</f>
        <v>72.849999999999994</v>
      </c>
      <c r="E144" s="10">
        <f>AVERAGE(B144:D144)</f>
        <v>69.033333333333331</v>
      </c>
      <c r="F144" s="11" t="str">
        <f>IF(E144&gt;=80,"HD/D range",IF(E144&gt;=70,"D range",IF(E144&gt;=60,"C range",IF(E144&gt;=50,"P range","At risk"))))</f>
        <v>C range</v>
      </c>
    </row>
    <row r="145" spans="1:6" ht="15" customHeight="1">
      <c r="A145" s="9" t="s">
        <v>215</v>
      </c>
      <c r="B145" s="10">
        <f>SUM(Results!G1575:G1578)</f>
        <v>73.7</v>
      </c>
      <c r="C145" s="10">
        <f>SUM(Results!G1579:G1581)</f>
        <v>74.8</v>
      </c>
      <c r="D145" s="10">
        <f>SUM(Results!G1582:G1585)</f>
        <v>77</v>
      </c>
      <c r="E145" s="10">
        <f>AVERAGE(B145:D145)</f>
        <v>75.166666666666671</v>
      </c>
      <c r="F145" s="11" t="str">
        <f>IF(E145&gt;=80,"HD/D range",IF(E145&gt;=70,"D range",IF(E145&gt;=60,"C range",IF(E145&gt;=50,"P range","At risk"))))</f>
        <v>D range</v>
      </c>
    </row>
    <row r="146" spans="1:6" ht="15" customHeight="1">
      <c r="A146" s="9" t="s">
        <v>216</v>
      </c>
      <c r="B146" s="10">
        <f>SUM(Results!G1586:G1589)</f>
        <v>65.900000000000006</v>
      </c>
      <c r="C146" s="10">
        <f>SUM(Results!G1590:G1592)</f>
        <v>71.3</v>
      </c>
      <c r="D146" s="10">
        <f>SUM(Results!G1593:G1596)</f>
        <v>62.1</v>
      </c>
      <c r="E146" s="10">
        <f>AVERAGE(B146:D146)</f>
        <v>66.433333333333323</v>
      </c>
      <c r="F146" s="11" t="str">
        <f>IF(E146&gt;=80,"HD/D range",IF(E146&gt;=70,"D range",IF(E146&gt;=60,"C range",IF(E146&gt;=50,"P range","At risk"))))</f>
        <v>C range</v>
      </c>
    </row>
    <row r="147" spans="1:6" ht="15" customHeight="1">
      <c r="A147" s="9" t="s">
        <v>217</v>
      </c>
      <c r="B147" s="10">
        <f>SUM(Results!G1597:G1600)</f>
        <v>89.9</v>
      </c>
      <c r="C147" s="10">
        <f>SUM(Results!G1601:G1603)</f>
        <v>94.1</v>
      </c>
      <c r="D147" s="10">
        <f>SUM(Results!G1604:G1607)</f>
        <v>92.699999999999989</v>
      </c>
      <c r="E147" s="10">
        <f>AVERAGE(B147:D147)</f>
        <v>92.233333333333334</v>
      </c>
      <c r="F147" s="11" t="str">
        <f>IF(E147&gt;=80,"HD/D range",IF(E147&gt;=70,"D range",IF(E147&gt;=60,"C range",IF(E147&gt;=50,"P range","At risk"))))</f>
        <v>HD/D range</v>
      </c>
    </row>
    <row r="148" spans="1:6" ht="15" customHeight="1">
      <c r="A148" s="9" t="s">
        <v>218</v>
      </c>
      <c r="B148" s="10">
        <f>SUM(Results!G1608:G1611)</f>
        <v>84.15</v>
      </c>
      <c r="C148" s="10">
        <f>SUM(Results!G1612:G1614)</f>
        <v>86.9</v>
      </c>
      <c r="D148" s="10">
        <f>SUM(Results!G1615:G1618)</f>
        <v>83.649999999999991</v>
      </c>
      <c r="E148" s="10">
        <f>AVERAGE(B148:D148)</f>
        <v>84.899999999999991</v>
      </c>
      <c r="F148" s="11" t="str">
        <f>IF(E148&gt;=80,"HD/D range",IF(E148&gt;=70,"D range",IF(E148&gt;=60,"C range",IF(E148&gt;=50,"P range","At risk"))))</f>
        <v>HD/D range</v>
      </c>
    </row>
    <row r="149" spans="1:6" ht="15" customHeight="1">
      <c r="A149" s="9" t="s">
        <v>219</v>
      </c>
      <c r="B149" s="10">
        <f>SUM(Results!G1619:G1622)</f>
        <v>77.099999999999994</v>
      </c>
      <c r="C149" s="10">
        <f>SUM(Results!G1623:G1625)</f>
        <v>71.8</v>
      </c>
      <c r="D149" s="10">
        <f>SUM(Results!G1626:G1629)</f>
        <v>75.599999999999994</v>
      </c>
      <c r="E149" s="10">
        <f>AVERAGE(B149:D149)</f>
        <v>74.833333333333329</v>
      </c>
      <c r="F149" s="11" t="str">
        <f>IF(E149&gt;=80,"HD/D range",IF(E149&gt;=70,"D range",IF(E149&gt;=60,"C range",IF(E149&gt;=50,"P range","At risk"))))</f>
        <v>D range</v>
      </c>
    </row>
    <row r="150" spans="1:6" ht="15" customHeight="1">
      <c r="A150" s="9" t="s">
        <v>220</v>
      </c>
      <c r="B150" s="10">
        <f>SUM(Results!G1630:G1633)</f>
        <v>64</v>
      </c>
      <c r="C150" s="10">
        <f>SUM(Results!G1634:G1636)</f>
        <v>70.7</v>
      </c>
      <c r="D150" s="10">
        <f>SUM(Results!G1637:G1640)</f>
        <v>66.349999999999994</v>
      </c>
      <c r="E150" s="10">
        <f>AVERAGE(B150:D150)</f>
        <v>67.016666666666666</v>
      </c>
      <c r="F150" s="11" t="str">
        <f>IF(E150&gt;=80,"HD/D range",IF(E150&gt;=70,"D range",IF(E150&gt;=60,"C range",IF(E150&gt;=50,"P range","At risk"))))</f>
        <v>C range</v>
      </c>
    </row>
    <row r="151" spans="1:6" ht="15" customHeight="1">
      <c r="A151" s="12" t="s">
        <v>221</v>
      </c>
      <c r="B151" s="13">
        <f>SUM(Results!G1641:G1644)</f>
        <v>85.95</v>
      </c>
      <c r="C151" s="13">
        <f>SUM(Results!G1645:G1647)</f>
        <v>86</v>
      </c>
      <c r="D151" s="13">
        <f>SUM(Results!G1648:G1651)</f>
        <v>85.35</v>
      </c>
      <c r="E151" s="13">
        <f>AVERAGE(B151:D151)</f>
        <v>85.766666666666652</v>
      </c>
      <c r="F151" s="14" t="str">
        <f>IF(E151&gt;=80,"HD/D range",IF(E151&gt;=70,"D range",IF(E151&gt;=60,"C range",IF(E151&gt;=50,"P range","At risk"))))</f>
        <v>HD/D range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
  <sheetViews>
    <sheetView zoomScaleNormal="100" zoomScaleSheetLayoutView="100" workbookViewId="0"/>
  </sheetViews>
  <sheetFormatPr defaultRowHeight="15"/>
  <cols>
    <col min="1" max="1" width="12" customWidth="1"/>
    <col min="2" max="2" width="52" customWidth="1"/>
    <col min="3" max="3" width="10" customWidth="1"/>
    <col min="4" max="7" width="16" customWidth="1"/>
    <col min="8" max="8" width="90" customWidth="1"/>
  </cols>
  <sheetData>
    <row r="1" spans="1:8" ht="15" customHeight="1">
      <c r="A1" s="2" t="s">
        <v>227</v>
      </c>
      <c r="B1" s="2" t="s">
        <v>1</v>
      </c>
      <c r="C1" s="27" t="s">
        <v>5</v>
      </c>
      <c r="D1" s="2" t="s">
        <v>228</v>
      </c>
      <c r="E1" s="2" t="s">
        <v>229</v>
      </c>
      <c r="F1" s="2" t="s">
        <v>230</v>
      </c>
      <c r="G1" s="2" t="s">
        <v>231</v>
      </c>
      <c r="H1" s="2" t="s">
        <v>232</v>
      </c>
    </row>
    <row r="2" spans="1:8" ht="15" customHeight="1">
      <c r="A2" s="1" t="s">
        <v>233</v>
      </c>
      <c r="B2" s="1" t="s">
        <v>8</v>
      </c>
      <c r="C2" s="1">
        <v>0.15</v>
      </c>
      <c r="D2" s="1" t="s">
        <v>234</v>
      </c>
      <c r="E2" s="1" t="s">
        <v>235</v>
      </c>
      <c r="F2" s="1" t="s">
        <v>236</v>
      </c>
      <c r="G2" s="1" t="s">
        <v>237</v>
      </c>
      <c r="H2" s="3" t="s">
        <v>10</v>
      </c>
    </row>
    <row r="3" spans="1:8" ht="15" customHeight="1">
      <c r="A3" s="1" t="s">
        <v>233</v>
      </c>
      <c r="B3" s="1" t="s">
        <v>11</v>
      </c>
      <c r="C3" s="1">
        <v>0.2</v>
      </c>
      <c r="D3" s="1" t="s">
        <v>234</v>
      </c>
      <c r="E3" s="1" t="s">
        <v>236</v>
      </c>
      <c r="F3" s="1" t="s">
        <v>236</v>
      </c>
      <c r="G3" s="1" t="s">
        <v>238</v>
      </c>
      <c r="H3" s="3" t="s">
        <v>13</v>
      </c>
    </row>
    <row r="4" spans="1:8" ht="15" customHeight="1">
      <c r="A4" s="1" t="s">
        <v>233</v>
      </c>
      <c r="B4" s="1" t="s">
        <v>14</v>
      </c>
      <c r="C4" s="1">
        <v>0.25</v>
      </c>
      <c r="D4" s="1" t="s">
        <v>234</v>
      </c>
      <c r="E4" s="1" t="s">
        <v>236</v>
      </c>
      <c r="F4" s="1" t="s">
        <v>236</v>
      </c>
      <c r="G4" s="1" t="s">
        <v>238</v>
      </c>
      <c r="H4" s="3" t="s">
        <v>13</v>
      </c>
    </row>
    <row r="5" spans="1:8" ht="15" customHeight="1">
      <c r="A5" s="1" t="s">
        <v>233</v>
      </c>
      <c r="B5" s="1" t="s">
        <v>16</v>
      </c>
      <c r="C5" s="1">
        <v>0.4</v>
      </c>
      <c r="D5" s="1" t="s">
        <v>234</v>
      </c>
      <c r="E5" s="1" t="s">
        <v>236</v>
      </c>
      <c r="F5" s="1" t="s">
        <v>236</v>
      </c>
      <c r="G5" s="1" t="s">
        <v>239</v>
      </c>
      <c r="H5" s="3" t="s">
        <v>18</v>
      </c>
    </row>
    <row r="6" spans="1:8" ht="15" customHeight="1">
      <c r="A6" s="1" t="s">
        <v>240</v>
      </c>
      <c r="B6" s="1" t="s">
        <v>19</v>
      </c>
      <c r="C6" s="1">
        <v>0.2</v>
      </c>
      <c r="D6" s="1" t="s">
        <v>234</v>
      </c>
      <c r="E6" s="1" t="s">
        <v>235</v>
      </c>
      <c r="F6" s="1" t="s">
        <v>236</v>
      </c>
      <c r="G6" s="1" t="s">
        <v>241</v>
      </c>
      <c r="H6" s="3" t="s">
        <v>21</v>
      </c>
    </row>
    <row r="7" spans="1:8" ht="15" customHeight="1">
      <c r="A7" s="1" t="s">
        <v>240</v>
      </c>
      <c r="B7" s="1" t="s">
        <v>22</v>
      </c>
      <c r="C7" s="1">
        <v>0.3</v>
      </c>
      <c r="D7" s="1" t="s">
        <v>234</v>
      </c>
      <c r="E7" s="1" t="s">
        <v>236</v>
      </c>
      <c r="F7" s="1" t="s">
        <v>236</v>
      </c>
      <c r="G7" s="1" t="s">
        <v>242</v>
      </c>
      <c r="H7" s="3" t="s">
        <v>24</v>
      </c>
    </row>
    <row r="8" spans="1:8" ht="15" customHeight="1">
      <c r="A8" s="1" t="s">
        <v>240</v>
      </c>
      <c r="B8" s="1" t="s">
        <v>25</v>
      </c>
      <c r="C8" s="1">
        <v>0.5</v>
      </c>
      <c r="D8" s="1" t="s">
        <v>234</v>
      </c>
      <c r="E8" s="1" t="s">
        <v>236</v>
      </c>
      <c r="F8" s="1" t="s">
        <v>236</v>
      </c>
      <c r="G8" s="1" t="s">
        <v>243</v>
      </c>
      <c r="H8" s="3" t="s">
        <v>27</v>
      </c>
    </row>
    <row r="9" spans="1:8" ht="15" customHeight="1">
      <c r="A9" s="1" t="s">
        <v>244</v>
      </c>
      <c r="B9" s="1" t="s">
        <v>28</v>
      </c>
      <c r="C9" s="1">
        <v>0.1</v>
      </c>
      <c r="D9" s="1" t="s">
        <v>245</v>
      </c>
      <c r="E9" s="1" t="s">
        <v>235</v>
      </c>
      <c r="F9" s="1" t="s">
        <v>236</v>
      </c>
      <c r="G9" s="1" t="s">
        <v>246</v>
      </c>
      <c r="H9" s="3" t="s">
        <v>30</v>
      </c>
    </row>
    <row r="10" spans="1:8" ht="15" customHeight="1">
      <c r="A10" s="1" t="s">
        <v>244</v>
      </c>
      <c r="B10" s="1" t="s">
        <v>31</v>
      </c>
      <c r="C10" s="1">
        <v>0.2</v>
      </c>
      <c r="D10" s="1" t="s">
        <v>245</v>
      </c>
      <c r="E10" s="1" t="s">
        <v>236</v>
      </c>
      <c r="F10" s="1" t="s">
        <v>236</v>
      </c>
      <c r="G10" s="1" t="s">
        <v>246</v>
      </c>
      <c r="H10" s="3" t="s">
        <v>30</v>
      </c>
    </row>
    <row r="11" spans="1:8" ht="15" customHeight="1">
      <c r="A11" s="1" t="s">
        <v>244</v>
      </c>
      <c r="B11" s="1" t="s">
        <v>33</v>
      </c>
      <c r="C11" s="1">
        <v>0.35</v>
      </c>
      <c r="D11" s="1" t="s">
        <v>247</v>
      </c>
      <c r="E11" s="1" t="s">
        <v>236</v>
      </c>
      <c r="F11" s="1" t="s">
        <v>236</v>
      </c>
      <c r="G11" s="1" t="s">
        <v>248</v>
      </c>
      <c r="H11" s="3" t="s">
        <v>35</v>
      </c>
    </row>
    <row r="12" spans="1:8" ht="15" customHeight="1">
      <c r="A12" s="1" t="s">
        <v>244</v>
      </c>
      <c r="B12" s="1" t="s">
        <v>36</v>
      </c>
      <c r="C12" s="1">
        <v>0.35</v>
      </c>
      <c r="D12" s="1" t="s">
        <v>234</v>
      </c>
      <c r="E12" s="1" t="s">
        <v>236</v>
      </c>
      <c r="F12" s="1" t="s">
        <v>236</v>
      </c>
      <c r="G12" s="1" t="s">
        <v>237</v>
      </c>
      <c r="H12" s="3" t="s">
        <v>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9832C3DE7B1B4DACDF5042C0DDB71D" ma:contentTypeVersion="3" ma:contentTypeDescription="Create a new document." ma:contentTypeScope="" ma:versionID="03c499e9a4c406c6180227e82974fc00">
  <xsd:schema xmlns:xsd="http://www.w3.org/2001/XMLSchema" xmlns:xs="http://www.w3.org/2001/XMLSchema" xmlns:p="http://schemas.microsoft.com/office/2006/metadata/properties" xmlns:ns2="46960fa6-53d9-4b5e-867a-985b17f218d8" targetNamespace="http://schemas.microsoft.com/office/2006/metadata/properties" ma:root="true" ma:fieldsID="6b657860614d6b60d488eb1e6353edd8" ns2:_="">
    <xsd:import namespace="46960fa6-53d9-4b5e-867a-985b17f218d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960fa6-53d9-4b5e-867a-985b17f218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EA144E-EA62-46BE-BC19-C7F6F3956581}"/>
</file>

<file path=customXml/itemProps2.xml><?xml version="1.0" encoding="utf-8"?>
<ds:datastoreItem xmlns:ds="http://schemas.openxmlformats.org/officeDocument/2006/customXml" ds:itemID="{6D4587A0-C505-47EA-B7B2-D9D4696FA1CB}"/>
</file>

<file path=customXml/itemProps3.xml><?xml version="1.0" encoding="utf-8"?>
<ds:datastoreItem xmlns:ds="http://schemas.openxmlformats.org/officeDocument/2006/customXml" ds:itemID="{EAE860D5-BF21-4374-86D6-071F9EE1C34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GE SU</cp:lastModifiedBy>
  <cp:revision/>
  <dcterms:created xsi:type="dcterms:W3CDTF">2026-08-18T00:00:47Z</dcterms:created>
  <dcterms:modified xsi:type="dcterms:W3CDTF">2026-08-18T00:00:47Z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0x010100DF9832C3DE7B1B4DACDF5042C0DDB71D</vt:lpwstr>
  </property>
</Properties>
</file>